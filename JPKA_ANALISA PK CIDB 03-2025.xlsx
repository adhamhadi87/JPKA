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hidePivotFieldList="1" defaultThemeVersion="202300"/>
  <mc:AlternateContent xmlns:mc="http://schemas.openxmlformats.org/markup-compatibility/2006">
    <mc:Choice Requires="x15">
      <x15ac:absPath xmlns:x15ac="http://schemas.microsoft.com/office/spreadsheetml/2010/11/ac" url="D:\Desktop\Dashboard JPKA\"/>
    </mc:Choice>
  </mc:AlternateContent>
  <xr:revisionPtr revIDLastSave="0" documentId="13_ncr:1_{58618437-A74C-47F8-A6D1-2ED117B28D55}" xr6:coauthVersionLast="47" xr6:coauthVersionMax="47" xr10:uidLastSave="{00000000-0000-0000-0000-000000000000}"/>
  <bookViews>
    <workbookView xWindow="-110" yWindow="-110" windowWidth="19420" windowHeight="11020" activeTab="1" xr2:uid="{01CEB0EE-1D28-4E7D-8E89-F3E8DA348D6D}"/>
  </bookViews>
  <sheets>
    <sheet name="JPKA Q1-2025" sheetId="4" r:id="rId1"/>
    <sheet name="All2" sheetId="16" r:id="rId2"/>
    <sheet name="NOTA" sheetId="15" r:id="rId3"/>
    <sheet name="List ptj T.light" sheetId="7" r:id="rId4"/>
    <sheet name="Kod Program" sheetId="8" r:id="rId5"/>
    <sheet name="data1" sheetId="1" state="hidden" r:id="rId6"/>
    <sheet name="P&amp;L" sheetId="12" r:id="rId7"/>
    <sheet name="BS" sheetId="13" r:id="rId8"/>
    <sheet name="CF" sheetId="14" r:id="rId9"/>
  </sheets>
  <definedNames>
    <definedName name="_xlnm._FilterDatabase" localSheetId="5" hidden="1">data1!$L$3:$M$32</definedName>
    <definedName name="_xlcn.WorksheetConnection_JPKACHARTQ1.xlsxTable11" hidden="1">Table1[]</definedName>
    <definedName name="ExternalData_1" localSheetId="1" hidden="1">'All2'!$A$1:$I$597</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245" r:id="rId10"/>
    <pivotCache cacheId="246" r:id="rId11"/>
    <pivotCache cacheId="247" r:id="rId12"/>
    <pivotCache cacheId="248" r:id="rId13"/>
    <pivotCache cacheId="249" r:id="rId14"/>
  </pivotCaches>
  <extLst>
    <ext xmlns:x14="http://schemas.microsoft.com/office/spreadsheetml/2009/9/main" uri="{876F7934-8845-4945-9796-88D515C7AA90}">
      <x14:pivotCaches>
        <pivotCache cacheId="250"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BELJ PROG_9c0bc8b4-58aa-4774-80f4-11ad929ff12d" name="BELJ PROG" connection="Query - BELJ PROG"/>
          <x15:modelTable id="KOD_0109246a-6670-4d9b-bdfc-d858779a9d80" name="KOD" connection="Query - KOD"/>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BELJ PROG" fromColumn="DESC" toTable="DESC" toColumn="DESC"/>
          <x15:modelRelationship fromTable="BELJ PROG" fromColumn="PTJ" toTable="PTJ2" toColumn="PTJ2"/>
          <x15:modelRelationship fromTable="BELJ PROG" fromColumn="PTJ1" toTable="PTJ" toColumn="PTJ_1"/>
          <x15:modelRelationship fromTable="BELJ PROG" fromColumn="Kategori" toTable="kategori" toColumn="Kategori"/>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3" l="1"/>
  <c r="E34" i="13"/>
  <c r="E35" i="13"/>
  <c r="E36" i="13"/>
  <c r="H45" i="1" l="1" a="1"/>
  <c r="H45" i="1" s="1"/>
  <c r="G45" i="1" a="1"/>
  <c r="G45" i="1" s="1"/>
  <c r="F45" i="1" a="1"/>
  <c r="F45" i="1" s="1"/>
  <c r="M90" i="1" l="1" a="1"/>
  <c r="M90" i="1" s="1"/>
  <c r="O89" i="1"/>
  <c r="O90" i="1" a="1"/>
  <c r="O90" i="1" s="1"/>
  <c r="N90" i="1" a="1"/>
  <c r="N90" i="1" s="1"/>
  <c r="H44" i="1"/>
  <c r="G44" i="1"/>
  <c r="F44" i="1"/>
  <c r="C63" i="1"/>
  <c r="B63" i="1"/>
  <c r="J44" i="1" l="1"/>
  <c r="N89" i="1"/>
  <c r="M89" i="1"/>
  <c r="K87" i="1"/>
  <c r="F79" i="1"/>
  <c r="G79" i="1"/>
  <c r="M87" i="1"/>
  <c r="B17" i="1"/>
  <c r="D17" i="1"/>
  <c r="C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B21359C-9299-4EC0-A8D0-B18334E0A3A4}"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3"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4" xr16:uid="{EDB5F1BE-BF4E-4051-99E9-EBCFD21BCCCB}"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5" xr16:uid="{BE5CAD82-3164-428B-AED5-2A2090781234}" name="Query - BELJ PROG" description="Connection to the 'BELJ PROG' query in the workbook." type="100" refreshedVersion="8" minRefreshableVersion="5">
    <extLst>
      <ext xmlns:x15="http://schemas.microsoft.com/office/spreadsheetml/2010/11/main" uri="{DE250136-89BD-433C-8126-D09CA5730AF9}">
        <x15:connection id="09de4f9c-5fbc-424d-8142-a51ddb4c90c6"/>
      </ext>
    </extLst>
  </connection>
  <connection id="6"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x15:oledbPr connection="Provider=Microsoft.Mashup.OleDb.1;Data Source=$Workbook$;Location=DESC;Extended Properties=&quot;&quot;">
            <x15:dbTables>
              <x15:dbTable name="DESC"/>
            </x15:dbTables>
          </x15:oledbPr>
        </x15:connection>
      </ext>
    </extLst>
  </connection>
  <connection id="7"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8"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9"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0"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1"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2"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<sst xmlns="http://schemas.openxmlformats.org/spreadsheetml/2006/main" count="3647" uniqueCount="280">
  <si>
    <t>Row Labels</t>
  </si>
  <si>
    <t>Grand Total</t>
  </si>
  <si>
    <t>Sum of BAJET 2025</t>
  </si>
  <si>
    <t>Sum of SASARAN Q1-25</t>
  </si>
  <si>
    <t>Sum of SEBENAR Q1-25</t>
  </si>
  <si>
    <t>BKA</t>
  </si>
  <si>
    <t>BKK</t>
  </si>
  <si>
    <t>BLA</t>
  </si>
  <si>
    <t>BPB</t>
  </si>
  <si>
    <t>BPGK</t>
  </si>
  <si>
    <t>BPK</t>
  </si>
  <si>
    <t>BPKB</t>
  </si>
  <si>
    <t>BPKPB</t>
  </si>
  <si>
    <t>BPLV</t>
  </si>
  <si>
    <t>BPS</t>
  </si>
  <si>
    <t>BPT</t>
  </si>
  <si>
    <t>BSM</t>
  </si>
  <si>
    <t>BT</t>
  </si>
  <si>
    <t>JH</t>
  </si>
  <si>
    <t>KD</t>
  </si>
  <si>
    <t>KN</t>
  </si>
  <si>
    <t>ML</t>
  </si>
  <si>
    <t>NS</t>
  </si>
  <si>
    <t>PH</t>
  </si>
  <si>
    <t>PL</t>
  </si>
  <si>
    <t>PP</t>
  </si>
  <si>
    <t>PR</t>
  </si>
  <si>
    <t>SB</t>
  </si>
  <si>
    <t>SD</t>
  </si>
  <si>
    <t>SI</t>
  </si>
  <si>
    <t>SL</t>
  </si>
  <si>
    <t>SR</t>
  </si>
  <si>
    <t>TR</t>
  </si>
  <si>
    <t>TW</t>
  </si>
  <si>
    <t>UPF</t>
  </si>
  <si>
    <t>WP</t>
  </si>
  <si>
    <t>Belanja Mengurus</t>
  </si>
  <si>
    <t>Belanja Program</t>
  </si>
  <si>
    <t>Belanja Modal</t>
  </si>
  <si>
    <t>Hasil</t>
  </si>
  <si>
    <t>BAR</t>
  </si>
  <si>
    <t>BSTU</t>
  </si>
  <si>
    <t>BTM</t>
  </si>
  <si>
    <t>MR</t>
  </si>
  <si>
    <t>PKE</t>
  </si>
  <si>
    <t>PPUU</t>
  </si>
  <si>
    <t>Sasaran Q1</t>
  </si>
  <si>
    <t>Prestasi (Sebenar/Sasaran)2</t>
  </si>
  <si>
    <t>Pencapaian</t>
  </si>
  <si>
    <t>Kenderaan</t>
  </si>
  <si>
    <t>Komputer</t>
  </si>
  <si>
    <t>Sistem Komputer</t>
  </si>
  <si>
    <t>Tanah</t>
  </si>
  <si>
    <t>Tanah ABM</t>
  </si>
  <si>
    <t>THE MET</t>
  </si>
  <si>
    <t>BPS1</t>
  </si>
  <si>
    <t>J.Hutang Ragu</t>
  </si>
  <si>
    <t>C. Perhubungan dan Utiliti</t>
  </si>
  <si>
    <t>H.Latihan Staf</t>
  </si>
  <si>
    <t>E. Bekalan</t>
  </si>
  <si>
    <t>B. Elaun Perjalanan</t>
  </si>
  <si>
    <t>F. Penyelenggaraan</t>
  </si>
  <si>
    <t>D. Sewaan</t>
  </si>
  <si>
    <t>G. Perkhidmatan Iktisas</t>
  </si>
  <si>
    <t>I.Susutnilai</t>
  </si>
  <si>
    <t>A. Emolumen</t>
  </si>
  <si>
    <t>D.Penilaian Kemahiran</t>
  </si>
  <si>
    <t>C.Faedah &amp; Dividen</t>
  </si>
  <si>
    <t>E.Pelbagai Hasil</t>
  </si>
  <si>
    <t>B.Yuran Pendaftaran</t>
  </si>
  <si>
    <t>A.Levi Kontrak</t>
  </si>
  <si>
    <t>D.Perabot</t>
  </si>
  <si>
    <t>C.Kelengkapan Pejabat</t>
  </si>
  <si>
    <t>B.Bangunan</t>
  </si>
  <si>
    <t>A.Bangunan  ABM</t>
  </si>
  <si>
    <t>SDK-BSTU</t>
  </si>
  <si>
    <t>SPN-BPLV</t>
  </si>
  <si>
    <t>SPKPB-BPB</t>
  </si>
  <si>
    <t>SPTB-BPT</t>
  </si>
  <si>
    <t>SPN-BPGK</t>
  </si>
  <si>
    <t>SPTB-BPS</t>
  </si>
  <si>
    <t>SDK-BKK</t>
  </si>
  <si>
    <t>SPA-BLA</t>
  </si>
  <si>
    <t>SPN-BPKB</t>
  </si>
  <si>
    <t>SPA-BPKPB</t>
  </si>
  <si>
    <t>SPKPB-BPK</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</si>
  <si>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</si>
  <si>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</si>
  <si>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</si>
  <si>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</si>
  <si>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</si>
  <si>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</si>
  <si>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</si>
  <si>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</si>
  <si>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</si>
  <si>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</si>
  <si>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</si>
  <si>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</si>
  <si>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</si>
  <si>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</si>
  <si>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</si>
  <si>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</si>
  <si>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</si>
  <si>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</si>
  <si>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</si>
  <si>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</si>
  <si>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</si>
  <si>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</si>
  <si>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</si>
  <si>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</si>
  <si>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</si>
  <si>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</si>
  <si>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</si>
  <si>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</si>
  <si>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</si>
  <si>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</si>
  <si>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</si>
  <si>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</si>
  <si>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</si>
  <si>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</si>
  <si>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</si>
  <si>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</si>
  <si>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</si>
  <si>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</si>
  <si>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</si>
  <si>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</si>
  <si>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</si>
  <si>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</si>
  <si>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</si>
  <si>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</si>
  <si>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</si>
  <si>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</si>
  <si>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</si>
  <si>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</si>
  <si>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</si>
  <si>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</si>
  <si>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</si>
  <si>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</si>
  <si>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</si>
  <si>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</si>
  <si>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</si>
  <si>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</si>
  <si>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</si>
  <si>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</si>
  <si>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</si>
  <si>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</si>
  <si>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</si>
  <si>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</si>
  <si>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</si>
  <si>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</si>
  <si>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</si>
  <si>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</si>
  <si>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</si>
  <si>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</si>
  <si>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</si>
  <si>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</si>
  <si>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</si>
  <si>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</si>
  <si>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</si>
  <si>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</si>
  <si>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</si>
  <si>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</si>
  <si>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</si>
  <si>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</si>
  <si>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</si>
  <si>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</si>
  <si>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</si>
  <si>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</si>
  <si>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</si>
  <si>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</si>
  <si>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</si>
  <si>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</si>
  <si>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</si>
  <si>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SASARAN 
Q1-25</t>
  </si>
  <si>
    <t>SEBENAR 
Q1-25</t>
  </si>
  <si>
    <t>SEBENAR 
Q1-24</t>
  </si>
  <si>
    <t>SURPLUS/ (DEFISIT)</t>
  </si>
  <si>
    <t>ASET Q1-2025</t>
  </si>
  <si>
    <t>LIABILITI &amp; A.BERSIH Q1-2025</t>
  </si>
  <si>
    <t xml:space="preserve"> PERKARA</t>
  </si>
  <si>
    <t>SEBENAR Q1-25</t>
  </si>
  <si>
    <t>SEBENAR 2024</t>
  </si>
  <si>
    <t>ASET 2024</t>
  </si>
  <si>
    <t>LIABILITI &amp; A.BERSIH 2024</t>
  </si>
  <si>
    <t>BAKI TUNAI AWAL (RM)</t>
  </si>
  <si>
    <t>BAKI TUNAI AKHIR (RM)</t>
  </si>
  <si>
    <t>AKT. PELABURAN (RM)</t>
  </si>
  <si>
    <t>AKT. OPERASI (RM )</t>
  </si>
  <si>
    <t>JUMLAH</t>
  </si>
  <si>
    <t>ASET BERSIH (RM)</t>
  </si>
  <si>
    <t>BUKAN SEMASA (RM)</t>
  </si>
  <si>
    <t>SEMASA (RM)</t>
  </si>
  <si>
    <t>DESC</t>
  </si>
  <si>
    <t>KOD1</t>
  </si>
  <si>
    <t>PTJ</t>
  </si>
  <si>
    <t>PTJ1</t>
  </si>
  <si>
    <t>SASARAN Q1-25</t>
  </si>
  <si>
    <t>Kategori</t>
  </si>
  <si>
    <t>HQ</t>
  </si>
  <si>
    <t>Negeri</t>
  </si>
  <si>
    <t>BM4-SW</t>
  </si>
  <si>
    <t>SW</t>
  </si>
  <si>
    <t>BM5-BK</t>
  </si>
  <si>
    <t>BK</t>
  </si>
  <si>
    <t>BM7-IKH</t>
  </si>
  <si>
    <t>IKH</t>
  </si>
  <si>
    <t>BM8-LAT</t>
  </si>
  <si>
    <t>LAT</t>
  </si>
  <si>
    <t>BM10-HR</t>
  </si>
  <si>
    <t>HR</t>
  </si>
  <si>
    <t>BMD6-KDRN</t>
  </si>
  <si>
    <t>KDRN</t>
  </si>
  <si>
    <t>BMD7-KP</t>
  </si>
  <si>
    <t>KP</t>
  </si>
  <si>
    <t>BMD9-KOMP</t>
  </si>
  <si>
    <t>KOMP</t>
  </si>
  <si>
    <t>BMD1-TNH</t>
  </si>
  <si>
    <t>TNH</t>
  </si>
  <si>
    <t>BMD4-TNH ABM</t>
  </si>
  <si>
    <t>ABM</t>
  </si>
  <si>
    <t>BMD2-BGN</t>
  </si>
  <si>
    <t>BGN</t>
  </si>
  <si>
    <t>BMD5-BGN ABM</t>
  </si>
  <si>
    <t>BGN ABM</t>
  </si>
  <si>
    <t>BMD3-BGN MET</t>
  </si>
  <si>
    <t>BGN MET</t>
  </si>
  <si>
    <t>BMD11-SKOMP</t>
  </si>
  <si>
    <t>SKOMP</t>
  </si>
  <si>
    <t>H4-LLH-YK</t>
  </si>
  <si>
    <t>E1.LLH-YK</t>
  </si>
  <si>
    <t>H4-LLH-GERAN</t>
  </si>
  <si>
    <t>E6.LLH-GERAN</t>
  </si>
  <si>
    <t>H4-LLH-PENALTI</t>
  </si>
  <si>
    <t>E3.LLH-PENALTI</t>
  </si>
  <si>
    <t>H4-LLH-HUP</t>
  </si>
  <si>
    <t>E4.LLH-HUP</t>
  </si>
  <si>
    <t>BMD8-PRBT</t>
  </si>
  <si>
    <t>PRBT</t>
  </si>
  <si>
    <t>H1-LV</t>
  </si>
  <si>
    <t>A.LV</t>
  </si>
  <si>
    <t>H2-YP-PB</t>
  </si>
  <si>
    <t>B.YP-PB</t>
  </si>
  <si>
    <t>H2-YP-PK</t>
  </si>
  <si>
    <t>B.YP-PK</t>
  </si>
  <si>
    <t>H3-FD</t>
  </si>
  <si>
    <t>C.FD</t>
  </si>
  <si>
    <t>H5-PK</t>
  </si>
  <si>
    <t>D.PK</t>
  </si>
  <si>
    <t>H4-LLH-VR</t>
  </si>
  <si>
    <t>E2.LLH-VR</t>
  </si>
  <si>
    <t>H4-LLH-JDOK</t>
  </si>
  <si>
    <t>E7.LLH-JDOK</t>
  </si>
  <si>
    <t>H4-LLH-KOMPAUN</t>
  </si>
  <si>
    <t>E3.LLH-KOMPAUN</t>
  </si>
  <si>
    <t>H4-LLH-SEWA BGN</t>
  </si>
  <si>
    <t>E5.LLH-SEWA BGN</t>
  </si>
  <si>
    <t>H4-LLH-SEWA TNH</t>
  </si>
  <si>
    <t>E5.LLH-SEWA TNH</t>
  </si>
  <si>
    <t>H4-LLH-HUP CAJ SKTN</t>
  </si>
  <si>
    <t>E4.LLH-HUP CAJ SKTN</t>
  </si>
  <si>
    <t>H4-LLH-JUAL ASET</t>
  </si>
  <si>
    <t>E8.LLH-JUAL ASET</t>
  </si>
  <si>
    <t>H4-LLH-HK LEVI</t>
  </si>
  <si>
    <t>E9.LLH-HK LEVI</t>
  </si>
  <si>
    <t>H4-LLH</t>
  </si>
  <si>
    <t>E9.LLH</t>
  </si>
  <si>
    <t>H4-LLH-MDRBH</t>
  </si>
  <si>
    <t>E9.LLH-MDRBH</t>
  </si>
  <si>
    <t>H4-LLH-SUMBGN</t>
  </si>
  <si>
    <t>E6.LLH-SUMBGN</t>
  </si>
  <si>
    <t>BM1-EMO</t>
  </si>
  <si>
    <t>EMO</t>
  </si>
  <si>
    <t>BM2-TNT</t>
  </si>
  <si>
    <t>TNT</t>
  </si>
  <si>
    <t>BM3-PU</t>
  </si>
  <si>
    <t>PU</t>
  </si>
  <si>
    <t>BM6-PYL</t>
  </si>
  <si>
    <t>PYL</t>
  </si>
  <si>
    <t>BM9-SN</t>
  </si>
  <si>
    <t>SN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</si>
</sst>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15"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sz val="1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b/>
      <sz val="10"/>
      <name val="Arial"/>
      <family val="2"/>
    </font>
    <font>
      <sz val="9"/>
      <color theme="1"/>
      <name val="Arial"/>
      <family val="2"/>
    </font>
    <font>
      <b/>
      <sz val="9"/>
      <color theme="1"/>
      <name val="Arial"/>
      <family val="2"/>
    </font>
    <font>
      <b/>
      <sz val="11"/>
      <color theme="0"/>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7" fillId="3" borderId="0">
      <alignment horizontal="right"/>
    </xf>
    <xf numFmtId="0" fontId="8" fillId="3" borderId="3"/>
    <xf numFmtId="43" fontId="9" fillId="0" borderId="0" applyFont="0" applyFill="0" applyBorder="0" applyAlignment="0" applyProtection="0"/>
    <xf numFmtId="0" fontId="12" fillId="0" borderId="0"/>
    <xf numFmtId="43" fontId="1" fillId="0" borderId="0" applyFont="0" applyFill="0" applyBorder="0" applyAlignment="0" applyProtection="0"/>
    <xf numFmtId="43" fontId="12" fillId="0" borderId="0" applyFont="0" applyFill="0" applyBorder="0" applyAlignment="0" applyProtection="0"/>
  </cellStyleXfs>
  <cellXfs count="49">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166" fontId="0" fillId="0" borderId="0" xfId="2" applyNumberFormat="1" applyFont="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6" fillId="4" borderId="2" xfId="0" applyFont="1" applyFill="1" applyBorder="1" applyAlignment="1">
      <alignment vertical="center"/>
    </xf>
    <xf numFmtId="0" fontId="11" fillId="4" borderId="2" xfId="0" applyFont="1" applyFill="1" applyBorder="1" applyAlignment="1">
      <alignment horizontal="center" vertical="center" wrapText="1"/>
    </xf>
    <xf numFmtId="0" fontId="0" fillId="2" borderId="0" xfId="0" applyFill="1" applyAlignment="1">
      <alignment vertical="center"/>
    </xf>
    <xf numFmtId="43" fontId="0" fillId="2" borderId="0" xfId="1" applyFont="1" applyFill="1" applyAlignment="1">
      <alignment vertical="center"/>
    </xf>
    <xf numFmtId="0" fontId="10" fillId="2" borderId="0" xfId="0" applyFont="1" applyFill="1"/>
    <xf numFmtId="0" fontId="0" fillId="2" borderId="0" xfId="0" applyFill="1" applyAlignment="1">
      <alignment horizontal="left" vertical="center"/>
    </xf>
    <xf numFmtId="43" fontId="0" fillId="2" borderId="0" xfId="1" applyFont="1" applyFill="1" applyAlignment="1">
      <alignment horizontal="left" vertical="center"/>
    </xf>
    <xf numFmtId="167" fontId="0" fillId="2" borderId="0" xfId="1" applyNumberFormat="1" applyFont="1" applyFill="1" applyAlignment="1">
      <alignment horizontal="left" vertical="center"/>
    </xf>
    <xf numFmtId="0" fontId="0" fillId="2" borderId="0" xfId="0" applyFill="1" applyAlignment="1">
      <alignment horizontal="left" vertical="center" wrapText="1"/>
    </xf>
    <xf numFmtId="0" fontId="12" fillId="0" borderId="0" xfId="7"/>
    <xf numFmtId="0" fontId="13" fillId="0" borderId="0" xfId="7" applyFont="1"/>
    <xf numFmtId="168" fontId="0" fillId="0" borderId="0" xfId="0" applyNumberFormat="1"/>
    <xf numFmtId="43" fontId="12" fillId="0" borderId="0" xfId="1" applyFont="1"/>
    <xf numFmtId="43" fontId="0" fillId="0" borderId="0" xfId="8" applyFont="1"/>
    <xf numFmtId="43" fontId="0" fillId="0" borderId="0" xfId="8" quotePrefix="1" applyFont="1"/>
    <xf numFmtId="43" fontId="0" fillId="2" borderId="0" xfId="8" applyFont="1" applyFill="1"/>
    <xf numFmtId="0" fontId="14"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167" fontId="0" fillId="2" borderId="0" xfId="8" applyNumberFormat="1" applyFont="1" applyFill="1"/>
    <xf numFmtId="0" fontId="0" fillId="5" borderId="0" xfId="0" applyFill="1" applyAlignment="1">
      <alignment horizontal="center" vertical="center"/>
    </xf>
    <xf numFmtId="0" fontId="10"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58">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horizontal="left" vertical="center" textRotation="0" indent="0" justifyLastLine="0" shrinkToFit="0" readingOrder="0"/>
    </dxf>
    <dxf>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11"/>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11"/>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166" formatCode="0.0%"/>
    </dxf>
    <dxf>
      <numFmt numFmtId="13" formatCode="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57"/>
      <tableStyleElement type="headerRow" dxfId="56"/>
    </tableStyle>
  </tableStyles>
  <colors>
    <mruColors>
      <color rgb="FF00FF99"/>
      <color rgb="FF00FFFF"/>
      <color rgb="FFFB656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69" Type="http://schemas.openxmlformats.org/officeDocument/2006/relationships/customXml" Target="../customXml/item42.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7" Type="http://schemas.openxmlformats.org/officeDocument/2006/relationships/worksheet" Target="worksheets/sheet7.xml"/><Relationship Id="rId71" Type="http://schemas.openxmlformats.org/officeDocument/2006/relationships/customXml" Target="../customXml/item44.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61" Type="http://schemas.openxmlformats.org/officeDocument/2006/relationships/customXml" Target="../customXml/item34.xml"/><Relationship Id="rId82" Type="http://schemas.openxmlformats.org/officeDocument/2006/relationships/customXml" Target="../customXml/item5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03-2025.xlsx]data1!PivotTable3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72237357223"/>
          <c:y val="5.147058624862643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pivotFmt>
    </c:pivotFmts>
    <c:plotArea>
      <c:layout>
        <c:manualLayout>
          <c:layoutTarget val="inner"/>
          <c:xMode val="edge"/>
          <c:yMode val="edge"/>
          <c:x val="0.18006981870070965"/>
          <c:y val="0.1265706296676459"/>
          <c:w val="0.88476831032858438"/>
          <c:h val="0.70912310062053796"/>
        </c:manualLayout>
      </c:layout>
      <c:barChart>
        <c:barDir val="col"/>
        <c:grouping val="clustered"/>
        <c:varyColors val="0"/>
        <c:ser>
          <c:idx val="0"/>
          <c:order val="0"/>
          <c:tx>
            <c:strRef>
              <c:f>data1!$B$3</c:f>
              <c:strCache>
                <c:ptCount val="1"/>
                <c:pt idx="0">
                  <c:v>Sum of BAJET 2025</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data1!$A$4:$A$8</c:f>
              <c:strCache>
                <c:ptCount val="4"/>
                <c:pt idx="0">
                  <c:v>Hasil</c:v>
                </c:pt>
                <c:pt idx="1">
                  <c:v>Belanja Mengurus</c:v>
                </c:pt>
                <c:pt idx="2">
                  <c:v>Belanja Program</c:v>
                </c:pt>
                <c:pt idx="3">
                  <c:v>Belanja Modal</c:v>
                </c:pt>
              </c:strCache>
            </c:strRef>
          </c:cat>
          <c:val>
            <c:numRef>
              <c:f>data1!$B$4:$B$8</c:f>
              <c:numCache>
                <c:formatCode>General</c:formatCode>
                <c:ptCount val="4"/>
                <c:pt idx="0">
                  <c:v>363200000</c:v>
                </c:pt>
                <c:pt idx="1">
                  <c:v>180600000</c:v>
                </c:pt>
                <c:pt idx="2">
                  <c:v>200000000</c:v>
                </c:pt>
                <c:pt idx="3">
                  <c:v>65520000</c:v>
                </c:pt>
              </c:numCache>
            </c:numRef>
          </c:val>
          <c:extLst>
            <c:ext xmlns:c16="http://schemas.microsoft.com/office/drawing/2014/chart" uri="{C3380CC4-5D6E-409C-BE32-E72D297353CC}">
              <c16:uniqueId val="{00000013-602B-4D1D-91F4-6A7A6D9B7104}"/>
            </c:ext>
          </c:extLst>
        </c:ser>
        <c:ser>
          <c:idx val="1"/>
          <c:order val="1"/>
          <c:tx>
            <c:strRef>
              <c:f>data1!$C$3</c:f>
              <c:strCache>
                <c:ptCount val="1"/>
                <c:pt idx="0">
                  <c:v>Sum of SASARAN Q1-25</c:v>
                </c:pt>
              </c:strCache>
            </c:strRef>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data1!$A$4:$A$8</c:f>
              <c:strCache>
                <c:ptCount val="4"/>
                <c:pt idx="0">
                  <c:v>Hasil</c:v>
                </c:pt>
                <c:pt idx="1">
                  <c:v>Belanja Mengurus</c:v>
                </c:pt>
                <c:pt idx="2">
                  <c:v>Belanja Program</c:v>
                </c:pt>
                <c:pt idx="3">
                  <c:v>Belanja Modal</c:v>
                </c:pt>
              </c:strCache>
            </c:strRef>
          </c:cat>
          <c:val>
            <c:numRef>
              <c:f>data1!$C$4:$C$8</c:f>
              <c:numCache>
                <c:formatCode>General</c:formatCode>
                <c:ptCount val="4"/>
                <c:pt idx="0">
                  <c:v>89152900</c:v>
                </c:pt>
                <c:pt idx="1">
                  <c:v>34833900</c:v>
                </c:pt>
                <c:pt idx="2">
                  <c:v>26191600</c:v>
                </c:pt>
                <c:pt idx="3">
                  <c:v>1223000</c:v>
                </c:pt>
              </c:numCache>
            </c:numRef>
          </c:val>
          <c:extLst>
            <c:ext xmlns:c16="http://schemas.microsoft.com/office/drawing/2014/chart" uri="{C3380CC4-5D6E-409C-BE32-E72D297353CC}">
              <c16:uniqueId val="{00000014-602B-4D1D-91F4-6A7A6D9B7104}"/>
            </c:ext>
          </c:extLst>
        </c:ser>
        <c:ser>
          <c:idx val="2"/>
          <c:order val="2"/>
          <c:tx>
            <c:strRef>
              <c:f>data1!$D$3</c:f>
              <c:strCache>
                <c:ptCount val="1"/>
                <c:pt idx="0">
                  <c:v>Sum of SEBENAR Q1-25</c:v>
                </c:pt>
              </c:strCache>
            </c:strRef>
          </c:tx>
          <c:spPr>
            <a:solidFill>
              <a:srgbClr val="92D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data1!$A$4:$A$8</c:f>
              <c:strCache>
                <c:ptCount val="4"/>
                <c:pt idx="0">
                  <c:v>Hasil</c:v>
                </c:pt>
                <c:pt idx="1">
                  <c:v>Belanja Mengurus</c:v>
                </c:pt>
                <c:pt idx="2">
                  <c:v>Belanja Program</c:v>
                </c:pt>
                <c:pt idx="3">
                  <c:v>Belanja Modal</c:v>
                </c:pt>
              </c:strCache>
            </c:strRef>
          </c:cat>
          <c:val>
            <c:numRef>
              <c:f>data1!$D$4:$D$8</c:f>
              <c:numCache>
                <c:formatCode>General</c:formatCode>
                <c:ptCount val="4"/>
                <c:pt idx="0">
                  <c:v>109468232</c:v>
                </c:pt>
                <c:pt idx="1">
                  <c:v>32889043.999999974</c:v>
                </c:pt>
                <c:pt idx="2">
                  <c:v>25284967.349999998</c:v>
                </c:pt>
                <c:pt idx="3">
                  <c:v>1042040.81</c:v>
                </c:pt>
              </c:numCache>
            </c:numRef>
          </c:val>
          <c:extLst>
            <c:ext xmlns:c16="http://schemas.microsoft.com/office/drawing/2014/chart" uri="{C3380CC4-5D6E-409C-BE32-E72D297353CC}">
              <c16:uniqueId val="{00000015-602B-4D1D-91F4-6A7A6D9B7104}"/>
            </c:ext>
          </c:extLst>
        </c:ser>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03-2025.xlsx]data1!PivotTable11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rgbClr val="FFC000"/>
            </a:solidFill>
            <a:round/>
          </a:ln>
          <a:effectLst/>
        </c:spPr>
        <c:marker>
          <c:symbol val="circle"/>
          <c:size val="5"/>
          <c:spPr>
            <a:solidFill>
              <a:srgbClr val="FFC000"/>
            </a:solidFill>
            <a:ln w="9525">
              <a:solidFill>
                <a:srgbClr val="FFC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ser>
          <c:idx val="1"/>
          <c:order val="1"/>
          <c:tx>
            <c:strRef>
              <c:f>data1!$H$3</c:f>
              <c:strCache>
                <c:ptCount val="1"/>
                <c:pt idx="0">
                  <c:v>Prestasi (Sebenar/Sasaran)2</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data1!$F$4:$F$42</c:f>
              <c:strCache>
                <c:ptCount val="38"/>
                <c:pt idx="0">
                  <c:v>BPLV</c:v>
                </c:pt>
                <c:pt idx="1">
                  <c:v>BPKB</c:v>
                </c:pt>
                <c:pt idx="2">
                  <c:v>SR</c:v>
                </c:pt>
                <c:pt idx="3">
                  <c:v>BLA</c:v>
                </c:pt>
                <c:pt idx="4">
                  <c:v>JH</c:v>
                </c:pt>
                <c:pt idx="5">
                  <c:v>WP</c:v>
                </c:pt>
                <c:pt idx="6">
                  <c:v>KD</c:v>
                </c:pt>
                <c:pt idx="7">
                  <c:v>ML</c:v>
                </c:pt>
                <c:pt idx="8">
                  <c:v>PH</c:v>
                </c:pt>
                <c:pt idx="9">
                  <c:v>BPK</c:v>
                </c:pt>
                <c:pt idx="10">
                  <c:v>BKA</c:v>
                </c:pt>
                <c:pt idx="11">
                  <c:v>BPB</c:v>
                </c:pt>
                <c:pt idx="12">
                  <c:v>BSTU</c:v>
                </c:pt>
                <c:pt idx="13">
                  <c:v>NS</c:v>
                </c:pt>
                <c:pt idx="14">
                  <c:v>SL</c:v>
                </c:pt>
                <c:pt idx="15">
                  <c:v>BT</c:v>
                </c:pt>
                <c:pt idx="16">
                  <c:v>SD</c:v>
                </c:pt>
                <c:pt idx="17">
                  <c:v>BKK</c:v>
                </c:pt>
                <c:pt idx="18">
                  <c:v>SB</c:v>
                </c:pt>
                <c:pt idx="19">
                  <c:v>PL</c:v>
                </c:pt>
                <c:pt idx="20">
                  <c:v>TR</c:v>
                </c:pt>
                <c:pt idx="21">
                  <c:v>TW</c:v>
                </c:pt>
                <c:pt idx="22">
                  <c:v>PR</c:v>
                </c:pt>
                <c:pt idx="23">
                  <c:v>KN</c:v>
                </c:pt>
                <c:pt idx="24">
                  <c:v>BPKPB</c:v>
                </c:pt>
                <c:pt idx="25">
                  <c:v>SI</c:v>
                </c:pt>
                <c:pt idx="26">
                  <c:v>BTM</c:v>
                </c:pt>
                <c:pt idx="27">
                  <c:v>MR</c:v>
                </c:pt>
                <c:pt idx="28">
                  <c:v>BSM</c:v>
                </c:pt>
                <c:pt idx="29">
                  <c:v>BPS</c:v>
                </c:pt>
                <c:pt idx="30">
                  <c:v>PP</c:v>
                </c:pt>
                <c:pt idx="31">
                  <c:v>BPT</c:v>
                </c:pt>
                <c:pt idx="32">
                  <c:v>UPF</c:v>
                </c:pt>
                <c:pt idx="33">
                  <c:v>PKE</c:v>
                </c:pt>
                <c:pt idx="34">
                  <c:v>PPUU</c:v>
                </c:pt>
                <c:pt idx="35">
                  <c:v>BPGK</c:v>
                </c:pt>
                <c:pt idx="36">
                  <c:v>BAR</c:v>
                </c:pt>
                <c:pt idx="37">
                  <c:v>BPS1</c:v>
                </c:pt>
              </c:strCache>
            </c:strRef>
          </c:cat>
          <c:val>
            <c:numRef>
              <c:f>data1!$H$4:$H$42</c:f>
              <c:numCache>
                <c:formatCode>0.0%</c:formatCode>
                <c:ptCount val="38"/>
                <c:pt idx="0">
                  <c:v>0.34013304396348132</c:v>
                </c:pt>
                <c:pt idx="1">
                  <c:v>0.1278376565941679</c:v>
                </c:pt>
                <c:pt idx="2">
                  <c:v>0.28835391390935167</c:v>
                </c:pt>
                <c:pt idx="3">
                  <c:v>0.22987763510516937</c:v>
                </c:pt>
                <c:pt idx="4">
                  <c:v>0.19898717972964966</c:v>
                </c:pt>
                <c:pt idx="5">
                  <c:v>0.21845692123592547</c:v>
                </c:pt>
                <c:pt idx="6">
                  <c:v>0.23749664800418582</c:v>
                </c:pt>
                <c:pt idx="7">
                  <c:v>0.20111798508550391</c:v>
                </c:pt>
                <c:pt idx="8">
                  <c:v>0.23427819658932886</c:v>
                </c:pt>
                <c:pt idx="9">
                  <c:v>0.11794836411576053</c:v>
                </c:pt>
                <c:pt idx="10">
                  <c:v>0.23393888967228832</c:v>
                </c:pt>
                <c:pt idx="11">
                  <c:v>6.2133647264816683E-2</c:v>
                </c:pt>
                <c:pt idx="12">
                  <c:v>9.1796776852517234E-2</c:v>
                </c:pt>
                <c:pt idx="13">
                  <c:v>0.21821536696176608</c:v>
                </c:pt>
                <c:pt idx="14">
                  <c:v>0.18599798404827464</c:v>
                </c:pt>
                <c:pt idx="15">
                  <c:v>0.17450235735680214</c:v>
                </c:pt>
                <c:pt idx="16">
                  <c:v>0.19369393298426896</c:v>
                </c:pt>
                <c:pt idx="17">
                  <c:v>6.4446106009481904E-2</c:v>
                </c:pt>
                <c:pt idx="18">
                  <c:v>0.24079016638725426</c:v>
                </c:pt>
                <c:pt idx="19">
                  <c:v>0.20747886173384314</c:v>
                </c:pt>
                <c:pt idx="20">
                  <c:v>0.24134174542265541</c:v>
                </c:pt>
                <c:pt idx="21">
                  <c:v>0.17273807432067936</c:v>
                </c:pt>
                <c:pt idx="22">
                  <c:v>0.22199298409920845</c:v>
                </c:pt>
                <c:pt idx="23">
                  <c:v>0.21712863150820239</c:v>
                </c:pt>
                <c:pt idx="24">
                  <c:v>0.18559723465683636</c:v>
                </c:pt>
                <c:pt idx="25">
                  <c:v>0.21705140632684133</c:v>
                </c:pt>
                <c:pt idx="26">
                  <c:v>5.7075575816931727E-2</c:v>
                </c:pt>
                <c:pt idx="27">
                  <c:v>0.17739301078858752</c:v>
                </c:pt>
                <c:pt idx="28">
                  <c:v>0.17051760797406121</c:v>
                </c:pt>
                <c:pt idx="29">
                  <c:v>7.169535883767382E-2</c:v>
                </c:pt>
                <c:pt idx="30">
                  <c:v>0.1938559046032029</c:v>
                </c:pt>
                <c:pt idx="31">
                  <c:v>3.8602243352406598E-2</c:v>
                </c:pt>
                <c:pt idx="32">
                  <c:v>3.4207311041671101E-2</c:v>
                </c:pt>
                <c:pt idx="33">
                  <c:v>0.13745865413761743</c:v>
                </c:pt>
                <c:pt idx="34">
                  <c:v>0.12903881690448854</c:v>
                </c:pt>
                <c:pt idx="35">
                  <c:v>0.1811115068297218</c:v>
                </c:pt>
                <c:pt idx="36">
                  <c:v>0.20754082843066915</c:v>
                </c:pt>
                <c:pt idx="37">
                  <c:v>0</c:v>
                </c:pt>
              </c:numCache>
            </c:numRef>
          </c:val>
          <c:extLst>
            <c:ext xmlns:c16="http://schemas.microsoft.com/office/drawing/2014/chart" uri="{C3380CC4-5D6E-409C-BE32-E72D297353CC}">
              <c16:uniqueId val="{00000013-40C8-48A9-A561-F4BEE845AB4D}"/>
            </c:ext>
          </c:extLst>
        </c:ser>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ser>
          <c:idx val="0"/>
          <c:order val="0"/>
          <c:tx>
            <c:strRef>
              <c:f>data1!$G$3</c:f>
              <c:strCache>
                <c:ptCount val="1"/>
                <c:pt idx="0">
                  <c:v>Sasaran Q1</c:v>
                </c:pt>
              </c:strCache>
            </c:strRef>
          </c:tx>
          <c:spPr>
            <a:ln w="28575" cap="rnd">
              <a:solidFill>
                <a:srgbClr val="FFC000"/>
              </a:solidFill>
              <a:round/>
            </a:ln>
            <a:effectLst/>
          </c:spPr>
          <c:marker>
            <c:symbol val="circle"/>
            <c:size val="5"/>
            <c:spPr>
              <a:solidFill>
                <a:srgbClr val="FFC000"/>
              </a:solidFill>
              <a:ln w="9525">
                <a:solidFill>
                  <a:srgbClr val="FFC00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data1!$F$4:$F$42</c:f>
              <c:strCache>
                <c:ptCount val="38"/>
                <c:pt idx="0">
                  <c:v>BPLV</c:v>
                </c:pt>
                <c:pt idx="1">
                  <c:v>BPKB</c:v>
                </c:pt>
                <c:pt idx="2">
                  <c:v>SR</c:v>
                </c:pt>
                <c:pt idx="3">
                  <c:v>BLA</c:v>
                </c:pt>
                <c:pt idx="4">
                  <c:v>JH</c:v>
                </c:pt>
                <c:pt idx="5">
                  <c:v>WP</c:v>
                </c:pt>
                <c:pt idx="6">
                  <c:v>KD</c:v>
                </c:pt>
                <c:pt idx="7">
                  <c:v>ML</c:v>
                </c:pt>
                <c:pt idx="8">
                  <c:v>PH</c:v>
                </c:pt>
                <c:pt idx="9">
                  <c:v>BPK</c:v>
                </c:pt>
                <c:pt idx="10">
                  <c:v>BKA</c:v>
                </c:pt>
                <c:pt idx="11">
                  <c:v>BPB</c:v>
                </c:pt>
                <c:pt idx="12">
                  <c:v>BSTU</c:v>
                </c:pt>
                <c:pt idx="13">
                  <c:v>NS</c:v>
                </c:pt>
                <c:pt idx="14">
                  <c:v>SL</c:v>
                </c:pt>
                <c:pt idx="15">
                  <c:v>BT</c:v>
                </c:pt>
                <c:pt idx="16">
                  <c:v>SD</c:v>
                </c:pt>
                <c:pt idx="17">
                  <c:v>BKK</c:v>
                </c:pt>
                <c:pt idx="18">
                  <c:v>SB</c:v>
                </c:pt>
                <c:pt idx="19">
                  <c:v>PL</c:v>
                </c:pt>
                <c:pt idx="20">
                  <c:v>TR</c:v>
                </c:pt>
                <c:pt idx="21">
                  <c:v>TW</c:v>
                </c:pt>
                <c:pt idx="22">
                  <c:v>PR</c:v>
                </c:pt>
                <c:pt idx="23">
                  <c:v>KN</c:v>
                </c:pt>
                <c:pt idx="24">
                  <c:v>BPKPB</c:v>
                </c:pt>
                <c:pt idx="25">
                  <c:v>SI</c:v>
                </c:pt>
                <c:pt idx="26">
                  <c:v>BTM</c:v>
                </c:pt>
                <c:pt idx="27">
                  <c:v>MR</c:v>
                </c:pt>
                <c:pt idx="28">
                  <c:v>BSM</c:v>
                </c:pt>
                <c:pt idx="29">
                  <c:v>BPS</c:v>
                </c:pt>
                <c:pt idx="30">
                  <c:v>PP</c:v>
                </c:pt>
                <c:pt idx="31">
                  <c:v>BPT</c:v>
                </c:pt>
                <c:pt idx="32">
                  <c:v>UPF</c:v>
                </c:pt>
                <c:pt idx="33">
                  <c:v>PKE</c:v>
                </c:pt>
                <c:pt idx="34">
                  <c:v>PPUU</c:v>
                </c:pt>
                <c:pt idx="35">
                  <c:v>BPGK</c:v>
                </c:pt>
                <c:pt idx="36">
                  <c:v>BAR</c:v>
                </c:pt>
                <c:pt idx="37">
                  <c:v>BPS1</c:v>
                </c:pt>
              </c:strCache>
            </c:strRef>
          </c:cat>
          <c:val>
            <c:numRef>
              <c:f>data1!$G$4:$G$42</c:f>
              <c:numCache>
                <c:formatCode>0.0%</c:formatCode>
                <c:ptCount val="38"/>
                <c:pt idx="0">
                  <c:v>0.24979530833392075</c:v>
                </c:pt>
                <c:pt idx="1">
                  <c:v>9.9891723257215834E-2</c:v>
                </c:pt>
                <c:pt idx="2">
                  <c:v>0.2598208963110849</c:v>
                </c:pt>
                <c:pt idx="3">
                  <c:v>0.2182005728381502</c:v>
                </c:pt>
                <c:pt idx="4">
                  <c:v>0.19423314786305712</c:v>
                </c:pt>
                <c:pt idx="5">
                  <c:v>0.21820553801012799</c:v>
                </c:pt>
                <c:pt idx="6">
                  <c:v>0.23847083930212642</c:v>
                </c:pt>
                <c:pt idx="7">
                  <c:v>0.20259534214695152</c:v>
                </c:pt>
                <c:pt idx="8">
                  <c:v>0.23616809674905606</c:v>
                </c:pt>
                <c:pt idx="9">
                  <c:v>0.1191577826511339</c:v>
                </c:pt>
                <c:pt idx="10">
                  <c:v>0.23710093631902532</c:v>
                </c:pt>
                <c:pt idx="11">
                  <c:v>6.3140022284713743E-2</c:v>
                </c:pt>
                <c:pt idx="12">
                  <c:v>9.3735469417085854E-2</c:v>
                </c:pt>
                <c:pt idx="13">
                  <c:v>0.22400423413145823</c:v>
                </c:pt>
                <c:pt idx="14">
                  <c:v>0.19214680818918375</c:v>
                </c:pt>
                <c:pt idx="15">
                  <c:v>0.18179380985837371</c:v>
                </c:pt>
                <c:pt idx="16">
                  <c:v>0.20238796999433636</c:v>
                </c:pt>
                <c:pt idx="17">
                  <c:v>6.7364284799043272E-2</c:v>
                </c:pt>
                <c:pt idx="18">
                  <c:v>0.25376807872249807</c:v>
                </c:pt>
                <c:pt idx="19">
                  <c:v>0.21917266005288777</c:v>
                </c:pt>
                <c:pt idx="20">
                  <c:v>0.25498956318968324</c:v>
                </c:pt>
                <c:pt idx="21">
                  <c:v>0.18295032444012885</c:v>
                </c:pt>
                <c:pt idx="22">
                  <c:v>0.23639642304074399</c:v>
                </c:pt>
                <c:pt idx="23">
                  <c:v>0.23227396311721638</c:v>
                </c:pt>
                <c:pt idx="24">
                  <c:v>0.20008281567195252</c:v>
                </c:pt>
                <c:pt idx="25">
                  <c:v>0.23445693327724221</c:v>
                </c:pt>
                <c:pt idx="26">
                  <c:v>6.1919273772178832E-2</c:v>
                </c:pt>
                <c:pt idx="27">
                  <c:v>0.19473829805500176</c:v>
                </c:pt>
                <c:pt idx="28">
                  <c:v>0.18799849909079538</c:v>
                </c:pt>
                <c:pt idx="29">
                  <c:v>8.1131283317006142E-2</c:v>
                </c:pt>
                <c:pt idx="30">
                  <c:v>0.21993038447961069</c:v>
                </c:pt>
                <c:pt idx="31">
                  <c:v>4.384045775833053E-2</c:v>
                </c:pt>
                <c:pt idx="32">
                  <c:v>3.8999780342806933E-2</c:v>
                </c:pt>
                <c:pt idx="33">
                  <c:v>0.15701727796301909</c:v>
                </c:pt>
                <c:pt idx="34">
                  <c:v>0.15308075009567546</c:v>
                </c:pt>
                <c:pt idx="35">
                  <c:v>0.21526138882929272</c:v>
                </c:pt>
                <c:pt idx="36">
                  <c:v>0.24919883292677095</c:v>
                </c:pt>
                <c:pt idx="37">
                  <c:v>0</c:v>
                </c:pt>
              </c:numCache>
            </c:numRef>
          </c:val>
          <c:smooth val="0"/>
          <c:extLst>
            <c:ext xmlns:c16="http://schemas.microsoft.com/office/drawing/2014/chart" uri="{C3380CC4-5D6E-409C-BE32-E72D297353CC}">
              <c16:uniqueId val="{00000012-40C8-48A9-A561-F4BEE845AB4D}"/>
            </c:ext>
          </c:extLst>
        </c:ser>
        <c:dLbls>
          <c:showLegendKey val="0"/>
          <c:showVal val="0"/>
          <c:showCatName val="0"/>
          <c:showSerName val="0"/>
          <c:showPercent val="0"/>
          <c:showBubbleSize val="0"/>
        </c:dLbls>
        <c:marker val="1"/>
        <c:smooth val="0"/>
        <c:axId val="750021503"/>
        <c:axId val="750021983"/>
      </c:lineChart>
      <c:lineChart>
        <c:grouping val="stacked"/>
        <c:varyColors val="0"/>
        <c:ser>
          <c:idx val="2"/>
          <c:order val="2"/>
          <c:tx>
            <c:strRef>
              <c:f>data1!$I$3</c:f>
              <c:strCache>
                <c:ptCount val="1"/>
                <c:pt idx="0">
                  <c:v>Pencapaian</c:v>
                </c:pt>
              </c:strCache>
            </c:strRef>
          </c:tx>
          <c:spPr>
            <a:ln w="28575" cap="rnd">
              <a:solidFill>
                <a:srgbClr val="FF0000"/>
              </a:solidFill>
              <a:round/>
            </a:ln>
            <a:effectLst/>
          </c:spPr>
          <c:marker>
            <c:symbol val="circle"/>
            <c:size val="5"/>
            <c:spPr>
              <a:solidFill>
                <a:srgbClr val="FF0000"/>
              </a:solidFill>
              <a:ln w="9525">
                <a:solidFill>
                  <a:srgbClr val="FF0000"/>
                </a:solidFill>
              </a:ln>
              <a:effectLst/>
            </c:spPr>
          </c:marker>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data1!$F$4:$F$42</c:f>
              <c:strCache>
                <c:ptCount val="38"/>
                <c:pt idx="0">
                  <c:v>BPLV</c:v>
                </c:pt>
                <c:pt idx="1">
                  <c:v>BPKB</c:v>
                </c:pt>
                <c:pt idx="2">
                  <c:v>SR</c:v>
                </c:pt>
                <c:pt idx="3">
                  <c:v>BLA</c:v>
                </c:pt>
                <c:pt idx="4">
                  <c:v>JH</c:v>
                </c:pt>
                <c:pt idx="5">
                  <c:v>WP</c:v>
                </c:pt>
                <c:pt idx="6">
                  <c:v>KD</c:v>
                </c:pt>
                <c:pt idx="7">
                  <c:v>ML</c:v>
                </c:pt>
                <c:pt idx="8">
                  <c:v>PH</c:v>
                </c:pt>
                <c:pt idx="9">
                  <c:v>BPK</c:v>
                </c:pt>
                <c:pt idx="10">
                  <c:v>BKA</c:v>
                </c:pt>
                <c:pt idx="11">
                  <c:v>BPB</c:v>
                </c:pt>
                <c:pt idx="12">
                  <c:v>BSTU</c:v>
                </c:pt>
                <c:pt idx="13">
                  <c:v>NS</c:v>
                </c:pt>
                <c:pt idx="14">
                  <c:v>SL</c:v>
                </c:pt>
                <c:pt idx="15">
                  <c:v>BT</c:v>
                </c:pt>
                <c:pt idx="16">
                  <c:v>SD</c:v>
                </c:pt>
                <c:pt idx="17">
                  <c:v>BKK</c:v>
                </c:pt>
                <c:pt idx="18">
                  <c:v>SB</c:v>
                </c:pt>
                <c:pt idx="19">
                  <c:v>PL</c:v>
                </c:pt>
                <c:pt idx="20">
                  <c:v>TR</c:v>
                </c:pt>
                <c:pt idx="21">
                  <c:v>TW</c:v>
                </c:pt>
                <c:pt idx="22">
                  <c:v>PR</c:v>
                </c:pt>
                <c:pt idx="23">
                  <c:v>KN</c:v>
                </c:pt>
                <c:pt idx="24">
                  <c:v>BPKPB</c:v>
                </c:pt>
                <c:pt idx="25">
                  <c:v>SI</c:v>
                </c:pt>
                <c:pt idx="26">
                  <c:v>BTM</c:v>
                </c:pt>
                <c:pt idx="27">
                  <c:v>MR</c:v>
                </c:pt>
                <c:pt idx="28">
                  <c:v>BSM</c:v>
                </c:pt>
                <c:pt idx="29">
                  <c:v>BPS</c:v>
                </c:pt>
                <c:pt idx="30">
                  <c:v>PP</c:v>
                </c:pt>
                <c:pt idx="31">
                  <c:v>BPT</c:v>
                </c:pt>
                <c:pt idx="32">
                  <c:v>UPF</c:v>
                </c:pt>
                <c:pt idx="33">
                  <c:v>PKE</c:v>
                </c:pt>
                <c:pt idx="34">
                  <c:v>PPUU</c:v>
                </c:pt>
                <c:pt idx="35">
                  <c:v>BPGK</c:v>
                </c:pt>
                <c:pt idx="36">
                  <c:v>BAR</c:v>
                </c:pt>
                <c:pt idx="37">
                  <c:v>BPS1</c:v>
                </c:pt>
              </c:strCache>
            </c:strRef>
          </c:cat>
          <c:val>
            <c:numRef>
              <c:f>data1!$I$4:$I$42</c:f>
              <c:numCache>
                <c:formatCode>0%;\-0%;0%</c:formatCode>
                <c:ptCount val="38"/>
                <c:pt idx="0">
                  <c:v>1.3616470470646276</c:v>
                </c:pt>
                <c:pt idx="1">
                  <c:v>1.2797622508222506</c:v>
                </c:pt>
                <c:pt idx="2">
                  <c:v>1.109818024659972</c:v>
                </c:pt>
                <c:pt idx="3">
                  <c:v>1.0535152686133442</c:v>
                </c:pt>
                <c:pt idx="4">
                  <c:v>1.0244759039272964</c:v>
                </c:pt>
                <c:pt idx="5">
                  <c:v>1.0011520478723406</c:v>
                </c:pt>
                <c:pt idx="6">
                  <c:v>0.99591484098939931</c:v>
                </c:pt>
                <c:pt idx="7">
                  <c:v>0.99270784290600311</c:v>
                </c:pt>
                <c:pt idx="8">
                  <c:v>0.99199764834563853</c:v>
                </c:pt>
                <c:pt idx="9">
                  <c:v>0.98985027659574476</c:v>
                </c:pt>
                <c:pt idx="10">
                  <c:v>0.9866637108405073</c:v>
                </c:pt>
                <c:pt idx="11">
                  <c:v>0.98406121848739503</c:v>
                </c:pt>
                <c:pt idx="12">
                  <c:v>0.97931740698985348</c:v>
                </c:pt>
                <c:pt idx="13">
                  <c:v>0.97415733148019457</c:v>
                </c:pt>
                <c:pt idx="14">
                  <c:v>0.9679993428001411</c:v>
                </c:pt>
                <c:pt idx="15">
                  <c:v>0.95989163488431228</c:v>
                </c:pt>
                <c:pt idx="16">
                  <c:v>0.95704271844660183</c:v>
                </c:pt>
                <c:pt idx="17">
                  <c:v>0.95668062389043851</c:v>
                </c:pt>
                <c:pt idx="18">
                  <c:v>0.94885916148092253</c:v>
                </c:pt>
                <c:pt idx="19">
                  <c:v>0.94664572526416912</c:v>
                </c:pt>
                <c:pt idx="20">
                  <c:v>0.94647695538473697</c:v>
                </c:pt>
                <c:pt idx="21">
                  <c:v>0.94418020219039578</c:v>
                </c:pt>
                <c:pt idx="22">
                  <c:v>0.93907082536924413</c:v>
                </c:pt>
                <c:pt idx="23">
                  <c:v>0.93479539675580881</c:v>
                </c:pt>
                <c:pt idx="24">
                  <c:v>0.92760207333914113</c:v>
                </c:pt>
                <c:pt idx="25">
                  <c:v>0.92576237048268872</c:v>
                </c:pt>
                <c:pt idx="26">
                  <c:v>0.92177398635086316</c:v>
                </c:pt>
                <c:pt idx="27">
                  <c:v>0.91093027185892705</c:v>
                </c:pt>
                <c:pt idx="28">
                  <c:v>0.90701579426816781</c:v>
                </c:pt>
                <c:pt idx="29">
                  <c:v>0.88369560922063672</c:v>
                </c:pt>
                <c:pt idx="30">
                  <c:v>0.88144212115982046</c:v>
                </c:pt>
                <c:pt idx="31">
                  <c:v>0.88051642994241841</c:v>
                </c:pt>
                <c:pt idx="32">
                  <c:v>0.87711547965116299</c:v>
                </c:pt>
                <c:pt idx="33">
                  <c:v>0.87543648648648631</c:v>
                </c:pt>
                <c:pt idx="34">
                  <c:v>0.84294607142857148</c:v>
                </c:pt>
                <c:pt idx="35">
                  <c:v>0.84135621262458471</c:v>
                </c:pt>
                <c:pt idx="36">
                  <c:v>0.83283226487523987</c:v>
                </c:pt>
                <c:pt idx="37">
                  <c:v>0</c:v>
                </c:pt>
              </c:numCache>
            </c:numRef>
          </c:val>
          <c:smooth val="0"/>
          <c:extLst>
            <c:ext xmlns:c16="http://schemas.microsoft.com/office/drawing/2014/chart" uri="{C3380CC4-5D6E-409C-BE32-E72D297353CC}">
              <c16:uniqueId val="{00000014-40C8-48A9-A561-F4BEE845AB4D}"/>
            </c:ext>
          </c:extLst>
        </c:ser>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0.4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03-2025.xlsx]data1!PivotTable1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ser>
          <c:idx val="0"/>
          <c:order val="0"/>
          <c:tx>
            <c:strRef>
              <c:f>data1!$B$19</c:f>
              <c:strCache>
                <c:ptCount val="1"/>
                <c:pt idx="0">
                  <c:v>Sum of SEBENAR Q1-25</c:v>
                </c:pt>
              </c:strCache>
            </c:strRef>
          </c:tx>
          <c:spPr>
            <a:solidFill>
              <a:srgbClr val="92D050"/>
            </a:solidFill>
            <a:ln>
              <a:solidFill>
                <a:srgbClr val="92D050"/>
              </a:solid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data1!$A$20:$A$57</c:f>
              <c:strCache>
                <c:ptCount val="37"/>
                <c:pt idx="0">
                  <c:v>J.Hutang Ragu</c:v>
                </c:pt>
                <c:pt idx="1">
                  <c:v>Komputer</c:v>
                </c:pt>
                <c:pt idx="2">
                  <c:v>PPUU</c:v>
                </c:pt>
                <c:pt idx="3">
                  <c:v>Tanah ABM</c:v>
                </c:pt>
                <c:pt idx="4">
                  <c:v>Kenderaan</c:v>
                </c:pt>
                <c:pt idx="5">
                  <c:v>Tanah</c:v>
                </c:pt>
                <c:pt idx="6">
                  <c:v>THE MET</c:v>
                </c:pt>
                <c:pt idx="7">
                  <c:v>Sistem Komputer</c:v>
                </c:pt>
                <c:pt idx="8">
                  <c:v>D.Perabot</c:v>
                </c:pt>
                <c:pt idx="9">
                  <c:v>C.Kelengkapan Pejabat</c:v>
                </c:pt>
                <c:pt idx="10">
                  <c:v>SDK-BSTU</c:v>
                </c:pt>
                <c:pt idx="11">
                  <c:v>SPN-BPLV</c:v>
                </c:pt>
                <c:pt idx="12">
                  <c:v>SPKPB-BPB</c:v>
                </c:pt>
                <c:pt idx="13">
                  <c:v>SPTB-BPT</c:v>
                </c:pt>
                <c:pt idx="14">
                  <c:v>B.Bangunan</c:v>
                </c:pt>
                <c:pt idx="15">
                  <c:v>SPN-BPGK</c:v>
                </c:pt>
                <c:pt idx="16">
                  <c:v>SPTB-BPS</c:v>
                </c:pt>
                <c:pt idx="17">
                  <c:v>C. Perhubungan dan Utiliti</c:v>
                </c:pt>
                <c:pt idx="18">
                  <c:v>SDK-BKK</c:v>
                </c:pt>
                <c:pt idx="19">
                  <c:v>H.Latihan Staf</c:v>
                </c:pt>
                <c:pt idx="20">
                  <c:v>E. Bekalan</c:v>
                </c:pt>
                <c:pt idx="21">
                  <c:v>B. Elaun Perjalanan</c:v>
                </c:pt>
                <c:pt idx="22">
                  <c:v>SPN-BPKB</c:v>
                </c:pt>
                <c:pt idx="23">
                  <c:v>A.Bangunan  ABM</c:v>
                </c:pt>
                <c:pt idx="24">
                  <c:v>SPKPB-BPK</c:v>
                </c:pt>
                <c:pt idx="25">
                  <c:v>F. Penyelenggaraan</c:v>
                </c:pt>
                <c:pt idx="26">
                  <c:v>D. Sewaan</c:v>
                </c:pt>
                <c:pt idx="27">
                  <c:v>SPA-BPKPB</c:v>
                </c:pt>
                <c:pt idx="28">
                  <c:v>G. Perkhidmatan Iktisas</c:v>
                </c:pt>
                <c:pt idx="29">
                  <c:v>D.Penilaian Kemahiran</c:v>
                </c:pt>
                <c:pt idx="30">
                  <c:v>I.Susutnilai</c:v>
                </c:pt>
                <c:pt idx="31">
                  <c:v>C.Faedah &amp; Dividen</c:v>
                </c:pt>
                <c:pt idx="32">
                  <c:v>E.Pelbagai Hasil</c:v>
                </c:pt>
                <c:pt idx="33">
                  <c:v>A. Emolumen</c:v>
                </c:pt>
                <c:pt idx="34">
                  <c:v>SPA-BLA</c:v>
                </c:pt>
                <c:pt idx="35">
                  <c:v>B.Yuran Pendaftaran</c:v>
                </c:pt>
                <c:pt idx="36">
                  <c:v>A.Levi Kontrak</c:v>
                </c:pt>
              </c:strCache>
            </c:strRef>
          </c:cat>
          <c:val>
            <c:numRef>
              <c:f>data1!$B$20:$B$57</c:f>
              <c:numCache>
                <c:formatCode>General</c:formatCode>
                <c:ptCount val="37"/>
                <c:pt idx="0">
                  <c:v>0</c:v>
                </c:pt>
                <c:pt idx="1">
                  <c:v>0</c:v>
                </c:pt>
                <c:pt idx="2">
                  <c:v>0</c:v>
                </c:pt>
                <c:pt idx="3">
                  <c:v>0</c:v>
                </c:pt>
                <c:pt idx="4">
                  <c:v>0</c:v>
                </c:pt>
                <c:pt idx="5">
                  <c:v>0</c:v>
                </c:pt>
                <c:pt idx="6">
                  <c:v>0</c:v>
                </c:pt>
                <c:pt idx="7">
                  <c:v>0</c:v>
                </c:pt>
                <c:pt idx="8">
                  <c:v>8700</c:v>
                </c:pt>
                <c:pt idx="9">
                  <c:v>11210</c:v>
                </c:pt>
                <c:pt idx="10">
                  <c:v>25630</c:v>
                </c:pt>
                <c:pt idx="11">
                  <c:v>79988.350000000006</c:v>
                </c:pt>
                <c:pt idx="12">
                  <c:v>95043.1</c:v>
                </c:pt>
                <c:pt idx="13">
                  <c:v>127465</c:v>
                </c:pt>
                <c:pt idx="14">
                  <c:v>158873.67000000001</c:v>
                </c:pt>
                <c:pt idx="15">
                  <c:v>168292.29</c:v>
                </c:pt>
                <c:pt idx="16">
                  <c:v>232818.52000000002</c:v>
                </c:pt>
                <c:pt idx="17">
                  <c:v>402654.52999999991</c:v>
                </c:pt>
                <c:pt idx="18">
                  <c:v>443578.9</c:v>
                </c:pt>
                <c:pt idx="19">
                  <c:v>495043.08999999997</c:v>
                </c:pt>
                <c:pt idx="20">
                  <c:v>550196.42000000004</c:v>
                </c:pt>
                <c:pt idx="21">
                  <c:v>588530.70000000007</c:v>
                </c:pt>
                <c:pt idx="22">
                  <c:v>821473.4</c:v>
                </c:pt>
                <c:pt idx="23">
                  <c:v>863257.14</c:v>
                </c:pt>
                <c:pt idx="24">
                  <c:v>1023796.42</c:v>
                </c:pt>
                <c:pt idx="25">
                  <c:v>1410289.55</c:v>
                </c:pt>
                <c:pt idx="26">
                  <c:v>1801163.3799999997</c:v>
                </c:pt>
                <c:pt idx="27">
                  <c:v>2453289.86</c:v>
                </c:pt>
                <c:pt idx="28">
                  <c:v>2895522.28</c:v>
                </c:pt>
                <c:pt idx="29">
                  <c:v>3565360</c:v>
                </c:pt>
                <c:pt idx="30">
                  <c:v>5828867.25</c:v>
                </c:pt>
                <c:pt idx="31">
                  <c:v>5951749.290000001</c:v>
                </c:pt>
                <c:pt idx="32">
                  <c:v>10972683.560000001</c:v>
                </c:pt>
                <c:pt idx="33">
                  <c:v>18916776.800000001</c:v>
                </c:pt>
                <c:pt idx="34">
                  <c:v>19813591.510000002</c:v>
                </c:pt>
                <c:pt idx="35">
                  <c:v>20569250</c:v>
                </c:pt>
                <c:pt idx="36">
                  <c:v>68409189.150000006</c:v>
                </c:pt>
              </c:numCache>
            </c:numRef>
          </c:val>
          <c:extLst>
            <c:ext xmlns:c16="http://schemas.microsoft.com/office/drawing/2014/chart" uri="{C3380CC4-5D6E-409C-BE32-E72D297353CC}">
              <c16:uniqueId val="{0000000D-57CC-476A-AC9D-90AF0246763C}"/>
            </c:ext>
          </c:extLst>
        </c:ser>
        <c:ser>
          <c:idx val="1"/>
          <c:order val="1"/>
          <c:tx>
            <c:strRef>
              <c:f>data1!$C$19</c:f>
              <c:strCache>
                <c:ptCount val="1"/>
                <c:pt idx="0">
                  <c:v>Sum of SASARAN Q1-25</c:v>
                </c:pt>
              </c:strCache>
            </c:strRef>
          </c:tx>
          <c:spPr>
            <a:solidFill>
              <a:schemeClr val="accent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data1!$A$20:$A$57</c:f>
              <c:strCache>
                <c:ptCount val="37"/>
                <c:pt idx="0">
                  <c:v>J.Hutang Ragu</c:v>
                </c:pt>
                <c:pt idx="1">
                  <c:v>Komputer</c:v>
                </c:pt>
                <c:pt idx="2">
                  <c:v>PPUU</c:v>
                </c:pt>
                <c:pt idx="3">
                  <c:v>Tanah ABM</c:v>
                </c:pt>
                <c:pt idx="4">
                  <c:v>Kenderaan</c:v>
                </c:pt>
                <c:pt idx="5">
                  <c:v>Tanah</c:v>
                </c:pt>
                <c:pt idx="6">
                  <c:v>THE MET</c:v>
                </c:pt>
                <c:pt idx="7">
                  <c:v>Sistem Komputer</c:v>
                </c:pt>
                <c:pt idx="8">
                  <c:v>D.Perabot</c:v>
                </c:pt>
                <c:pt idx="9">
                  <c:v>C.Kelengkapan Pejabat</c:v>
                </c:pt>
                <c:pt idx="10">
                  <c:v>SDK-BSTU</c:v>
                </c:pt>
                <c:pt idx="11">
                  <c:v>SPN-BPLV</c:v>
                </c:pt>
                <c:pt idx="12">
                  <c:v>SPKPB-BPB</c:v>
                </c:pt>
                <c:pt idx="13">
                  <c:v>SPTB-BPT</c:v>
                </c:pt>
                <c:pt idx="14">
                  <c:v>B.Bangunan</c:v>
                </c:pt>
                <c:pt idx="15">
                  <c:v>SPN-BPGK</c:v>
                </c:pt>
                <c:pt idx="16">
                  <c:v>SPTB-BPS</c:v>
                </c:pt>
                <c:pt idx="17">
                  <c:v>C. Perhubungan dan Utiliti</c:v>
                </c:pt>
                <c:pt idx="18">
                  <c:v>SDK-BKK</c:v>
                </c:pt>
                <c:pt idx="19">
                  <c:v>H.Latihan Staf</c:v>
                </c:pt>
                <c:pt idx="20">
                  <c:v>E. Bekalan</c:v>
                </c:pt>
                <c:pt idx="21">
                  <c:v>B. Elaun Perjalanan</c:v>
                </c:pt>
                <c:pt idx="22">
                  <c:v>SPN-BPKB</c:v>
                </c:pt>
                <c:pt idx="23">
                  <c:v>A.Bangunan  ABM</c:v>
                </c:pt>
                <c:pt idx="24">
                  <c:v>SPKPB-BPK</c:v>
                </c:pt>
                <c:pt idx="25">
                  <c:v>F. Penyelenggaraan</c:v>
                </c:pt>
                <c:pt idx="26">
                  <c:v>D. Sewaan</c:v>
                </c:pt>
                <c:pt idx="27">
                  <c:v>SPA-BPKPB</c:v>
                </c:pt>
                <c:pt idx="28">
                  <c:v>G. Perkhidmatan Iktisas</c:v>
                </c:pt>
                <c:pt idx="29">
                  <c:v>D.Penilaian Kemahiran</c:v>
                </c:pt>
                <c:pt idx="30">
                  <c:v>I.Susutnilai</c:v>
                </c:pt>
                <c:pt idx="31">
                  <c:v>C.Faedah &amp; Dividen</c:v>
                </c:pt>
                <c:pt idx="32">
                  <c:v>E.Pelbagai Hasil</c:v>
                </c:pt>
                <c:pt idx="33">
                  <c:v>A. Emolumen</c:v>
                </c:pt>
                <c:pt idx="34">
                  <c:v>SPA-BLA</c:v>
                </c:pt>
                <c:pt idx="35">
                  <c:v>B.Yuran Pendaftaran</c:v>
                </c:pt>
                <c:pt idx="36">
                  <c:v>A.Levi Kontrak</c:v>
                </c:pt>
              </c:strCache>
            </c:strRef>
          </c:cat>
          <c:val>
            <c:numRef>
              <c:f>data1!$C$20:$C$57</c:f>
              <c:numCache>
                <c:formatCode>General</c:formatCode>
                <c:ptCount val="37"/>
                <c:pt idx="0">
                  <c:v>0</c:v>
                </c:pt>
                <c:pt idx="1">
                  <c:v>0</c:v>
                </c:pt>
                <c:pt idx="2">
                  <c:v>0</c:v>
                </c:pt>
                <c:pt idx="3">
                  <c:v>0</c:v>
                </c:pt>
                <c:pt idx="4">
                  <c:v>0</c:v>
                </c:pt>
                <c:pt idx="5">
                  <c:v>0</c:v>
                </c:pt>
                <c:pt idx="6">
                  <c:v>0</c:v>
                </c:pt>
                <c:pt idx="7">
                  <c:v>0</c:v>
                </c:pt>
                <c:pt idx="8">
                  <c:v>10000</c:v>
                </c:pt>
                <c:pt idx="9">
                  <c:v>13000</c:v>
                </c:pt>
                <c:pt idx="10">
                  <c:v>27000</c:v>
                </c:pt>
                <c:pt idx="11">
                  <c:v>85000</c:v>
                </c:pt>
                <c:pt idx="12">
                  <c:v>100000</c:v>
                </c:pt>
                <c:pt idx="13">
                  <c:v>131000</c:v>
                </c:pt>
                <c:pt idx="14">
                  <c:v>200000</c:v>
                </c:pt>
                <c:pt idx="15">
                  <c:v>182000</c:v>
                </c:pt>
                <c:pt idx="16">
                  <c:v>252000</c:v>
                </c:pt>
                <c:pt idx="17">
                  <c:v>443300</c:v>
                </c:pt>
                <c:pt idx="18">
                  <c:v>458100</c:v>
                </c:pt>
                <c:pt idx="19">
                  <c:v>552500</c:v>
                </c:pt>
                <c:pt idx="20">
                  <c:v>613000</c:v>
                </c:pt>
                <c:pt idx="21">
                  <c:v>654000</c:v>
                </c:pt>
                <c:pt idx="22">
                  <c:v>1023500</c:v>
                </c:pt>
                <c:pt idx="23">
                  <c:v>1000000</c:v>
                </c:pt>
                <c:pt idx="24">
                  <c:v>1034000</c:v>
                </c:pt>
                <c:pt idx="25">
                  <c:v>1561500</c:v>
                </c:pt>
                <c:pt idx="26">
                  <c:v>1892500</c:v>
                </c:pt>
                <c:pt idx="27">
                  <c:v>2825000</c:v>
                </c:pt>
                <c:pt idx="28">
                  <c:v>3117100</c:v>
                </c:pt>
                <c:pt idx="29">
                  <c:v>2800000</c:v>
                </c:pt>
                <c:pt idx="30">
                  <c:v>6000000</c:v>
                </c:pt>
                <c:pt idx="31">
                  <c:v>5951700</c:v>
                </c:pt>
                <c:pt idx="32">
                  <c:v>8126200</c:v>
                </c:pt>
                <c:pt idx="33">
                  <c:v>20000000</c:v>
                </c:pt>
                <c:pt idx="34">
                  <c:v>20074000</c:v>
                </c:pt>
                <c:pt idx="35">
                  <c:v>22275000</c:v>
                </c:pt>
                <c:pt idx="36">
                  <c:v>50000000</c:v>
                </c:pt>
              </c:numCache>
            </c:numRef>
          </c:val>
          <c:extLst>
            <c:ext xmlns:c16="http://schemas.microsoft.com/office/drawing/2014/chart" uri="{C3380CC4-5D6E-409C-BE32-E72D297353CC}">
              <c16:uniqueId val="{0000000E-57CC-476A-AC9D-90AF0246763C}"/>
            </c:ext>
          </c:extLst>
        </c:ser>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KEWANGAN CIDB Q1-2025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'P&amp;L'!$A$2</c:f>
              <c:strCache>
                <c:ptCount val="1"/>
                <c:pt idx="0">
                  <c:v>HASIL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'P&amp;L'!$B$11:$E$11</c:f>
              <c:strCache>
                <c:ptCount val="4"/>
                <c:pt idx="0">
                  <c:v>BAJET 2025</c:v>
                </c:pt>
                <c:pt idx="1">
                  <c:v>SASARAN 
Q1-25</c:v>
                </c:pt>
                <c:pt idx="2">
                  <c:v>SEBENAR 
Q1-25</c:v>
                </c:pt>
                <c:pt idx="3">
                  <c:v>SEBENAR 
Q1-24</c:v>
                </c:pt>
              </c:strCache>
            </c:strRef>
          </c:cat>
          <c:val>
            <c:numRef>
              <c:f>'P&amp;L'!$B$2:$E$2</c:f>
              <c:numCache>
                <c:formatCode>_(* #,##0.00_);_(* \(#,##0.00\);_(* "-"??_);_(@_)</c:formatCode>
                <c:ptCount val="4"/>
                <c:pt idx="0">
                  <c:v>363200000</c:v>
                </c:pt>
                <c:pt idx="1">
                  <c:v>89152900</c:v>
                </c:pt>
                <c:pt idx="2">
                  <c:v>109468232.00000001</c:v>
                </c:pt>
                <c:pt idx="3">
                  <c:v>106877075.24000001</c:v>
                </c:pt>
              </c:numCache>
            </c:numRef>
          </c:val>
          <c:smooth val="0"/>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'P&amp;L'!$B$11:$E$11</c:f>
              <c:strCache>
                <c:ptCount val="4"/>
                <c:pt idx="0">
                  <c:v>BAJET 2025</c:v>
                </c:pt>
                <c:pt idx="1">
                  <c:v>SASARAN 
Q1-25</c:v>
                </c:pt>
                <c:pt idx="2">
                  <c:v>SEBENAR 
Q1-25</c:v>
                </c:pt>
                <c:pt idx="3">
                  <c:v>SEBENAR 
Q1-24</c:v>
                </c:pt>
              </c:strCache>
            </c:strRef>
          </c:cat>
          <c:val>
            <c:numRef>
              <c:f>'P&amp;L'!$B$3:$E$3</c:f>
              <c:numCache>
                <c:formatCode>_(* #,##0.00_);_(* \(#,##0.00\);_(* "-"??_);_(@_)</c:formatCode>
                <c:ptCount val="4"/>
                <c:pt idx="0">
                  <c:v>446120000</c:v>
                </c:pt>
                <c:pt idx="1">
                  <c:v>62248500</c:v>
                </c:pt>
                <c:pt idx="2">
                  <c:v>59216052.159999996</c:v>
                </c:pt>
                <c:pt idx="3">
                  <c:v>55315991.890000001</c:v>
                </c:pt>
              </c:numCache>
            </c:numRef>
          </c:val>
          <c:smooth val="0"/>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marker val="1"/>
        <c:smooth val="0"/>
        <c:axId val="372777071"/>
        <c:axId val="372781391"/>
      </c:line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Q1-2025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'P&amp;L'!$A$11:$E$11</c:f>
              <c:strCache>
                <c:ptCount val="5"/>
                <c:pt idx="0">
                  <c:v>PERKARA</c:v>
                </c:pt>
                <c:pt idx="1">
                  <c:v>BAJET 2025</c:v>
                </c:pt>
                <c:pt idx="2">
                  <c:v>SASARAN 
Q1-25</c:v>
                </c:pt>
                <c:pt idx="3">
                  <c:v>SEBENAR 
Q1-25</c:v>
                </c:pt>
                <c:pt idx="4">
                  <c:v>SEBENAR 
Q1-24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'P&amp;L'!$B$11:$E$11</c:f>
              <c:strCache>
                <c:ptCount val="4"/>
                <c:pt idx="0">
                  <c:v>BAJET 2025</c:v>
                </c:pt>
                <c:pt idx="1">
                  <c:v>SASARAN 
Q1-25</c:v>
                </c:pt>
                <c:pt idx="2">
                  <c:v>SEBENAR 
Q1-25</c:v>
                </c:pt>
                <c:pt idx="3">
                  <c:v>SEBENAR 
Q1-24</c:v>
                </c:pt>
              </c:strCache>
            </c:strRef>
          </c:cat>
          <c:val>
            <c:numRef>
              <c:f>'P&amp;L'!$B$14:$E$14</c:f>
              <c:numCache>
                <c:formatCode>_(* #,##0.00_);_(* \(#,##0.00\);_(* "-"??_);_(@_)</c:formatCode>
                <c:ptCount val="4"/>
                <c:pt idx="0" formatCode="#,##0.00_ ;\-#,##0.00\ ">
                  <c:v>-82920000</c:v>
                </c:pt>
                <c:pt idx="1">
                  <c:v>26904400</c:v>
                </c:pt>
                <c:pt idx="2">
                  <c:v>50252179.840000018</c:v>
                </c:pt>
                <c:pt idx="3">
                  <c:v>51561083.350000009</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Q1-2025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Q1-25</c:v>
                </c:pt>
                <c:pt idx="2">
                  <c:v>SEBENAR 
Q1-25</c:v>
                </c:pt>
                <c:pt idx="3">
                  <c:v>SEBENAR 
Q1-24</c:v>
                </c:pt>
              </c:strCache>
            </c:strRef>
          </c:cat>
          <c:val>
            <c:numRef>
              <c:f>'P&amp;L'!$B$24:$E$24</c:f>
              <c:numCache>
                <c:formatCode>_(* #,##0.00_);_(* \(#,##0.00\);_(* "-"??_);_(@_)</c:formatCode>
                <c:ptCount val="4"/>
                <c:pt idx="0">
                  <c:v>200000000</c:v>
                </c:pt>
                <c:pt idx="1">
                  <c:v>26191600</c:v>
                </c:pt>
                <c:pt idx="2">
                  <c:v>25284967.349999998</c:v>
                </c:pt>
                <c:pt idx="3">
                  <c:v>17471311.920000002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Q1-25</c:v>
                </c:pt>
                <c:pt idx="2">
                  <c:v>SEBENAR 
Q1-25</c:v>
                </c:pt>
                <c:pt idx="3">
                  <c:v>SEBENAR 
Q1-24</c:v>
                </c:pt>
              </c:strCache>
            </c:strRef>
          </c:cat>
          <c:val>
            <c:numRef>
              <c:f>'P&amp;L'!$B$25:$E$25</c:f>
              <c:numCache>
                <c:formatCode>_(* #,##0.00_);_(* \(#,##0.00\);_(* "-"??_);_(@_)</c:formatCode>
                <c:ptCount val="4"/>
                <c:pt idx="0">
                  <c:v>180600000</c:v>
                </c:pt>
                <c:pt idx="1">
                  <c:v>34833900</c:v>
                </c:pt>
                <c:pt idx="2">
                  <c:v>32889044</c:v>
                </c:pt>
                <c:pt idx="3">
                  <c:v>34510396.460000001</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Q1-25</c:v>
                </c:pt>
                <c:pt idx="2">
                  <c:v>SEBENAR 
Q1-25</c:v>
                </c:pt>
                <c:pt idx="3">
                  <c:v>SEBENAR 
Q1-24</c:v>
                </c:pt>
              </c:strCache>
            </c:strRef>
          </c:cat>
          <c:val>
            <c:numRef>
              <c:f>'P&amp;L'!$B$26:$E$26</c:f>
              <c:numCache>
                <c:formatCode>_(* #,##0.00_);_(* \(#,##0.00\);_(* "-"??_);_(@_)</c:formatCode>
                <c:ptCount val="4"/>
                <c:pt idx="0">
                  <c:v>65520000</c:v>
                </c:pt>
                <c:pt idx="1">
                  <c:v>1223000</c:v>
                </c:pt>
                <c:pt idx="2">
                  <c:v>1042040.81</c:v>
                </c:pt>
                <c:pt idx="3">
                  <c:v>3334283.51</c:v>
                </c:pt>
              </c:numCache>
            </c:numRef>
          </c:val>
          <c:extLst>
            <c:ext xmlns:c16="http://schemas.microsoft.com/office/drawing/2014/chart" uri="{C3380CC4-5D6E-409C-BE32-E72D297353CC}">
              <c16:uniqueId val="{00000002-9FAE-45BD-9876-6CFDCDB62301}"/>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LEMBARAN IMBANGAN</a:t>
            </a:r>
            <a:r>
              <a:rPr lang="en-MY" b="1" baseline="0"/>
              <a:t> CIDB PADA Q1-2025</a:t>
            </a:r>
            <a:endParaRPr lang="en-MY" b="1"/>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Q1-2025</c:v>
                </c:pt>
                <c:pt idx="3">
                  <c:v>LIABILITI &amp; A.BERSIH Q1-2025</c:v>
                </c:pt>
              </c:strCache>
            </c:strRef>
          </c:cat>
          <c:val>
            <c:numRef>
              <c:f>BS!$B$33:$B$36</c:f>
              <c:numCache>
                <c:formatCode>_(* #,##0.00_);_(* \(#,##0.00\);_(* "-"??_);_(@_)</c:formatCode>
                <c:ptCount val="4"/>
                <c:pt idx="0">
                  <c:v>0</c:v>
                </c:pt>
                <c:pt idx="1">
                  <c:v>1027939700.83</c:v>
                </c:pt>
                <c:pt idx="2">
                  <c:v>0</c:v>
                </c:pt>
                <c:pt idx="3">
                  <c:v>1079233921.48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Q1-2025</c:v>
                </c:pt>
                <c:pt idx="3">
                  <c:v>LIABILITI &amp; A.BERSIH Q1-2025</c:v>
                </c:pt>
              </c:strCache>
            </c:strRef>
          </c:cat>
          <c:val>
            <c:numRef>
              <c:f>BS!$C$33:$C$36</c:f>
              <c:numCache>
                <c:formatCode>_(* #,##0.00_);_(* \(#,##0.00\);_(* "-"??_);_(@_)</c:formatCode>
                <c:ptCount val="4"/>
                <c:pt idx="0">
                  <c:v>468597232.14999992</c:v>
                </c:pt>
                <c:pt idx="1">
                  <c:v>39710053.960000001</c:v>
                </c:pt>
                <c:pt idx="2">
                  <c:v>463789345.48000002</c:v>
                </c:pt>
                <c:pt idx="3">
                  <c:v>39345384.810000002</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SEMASA (RM)</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Q1-2025</c:v>
                </c:pt>
                <c:pt idx="3">
                  <c:v>LIABILITI &amp; A.BERSIH Q1-2025</c:v>
                </c:pt>
              </c:strCache>
            </c:strRef>
          </c:cat>
          <c:val>
            <c:numRef>
              <c:f>BS!$D$33:$D$36</c:f>
              <c:numCache>
                <c:formatCode>_(* #,##0.00_);_(* \(#,##0.00\);_(* "-"??_);_(@_)</c:formatCode>
                <c:ptCount val="4"/>
                <c:pt idx="0">
                  <c:v>652641109.48999989</c:v>
                </c:pt>
                <c:pt idx="1">
                  <c:v>49088586.849999994</c:v>
                </c:pt>
                <c:pt idx="2">
                  <c:v>698211627.68000007</c:v>
                </c:pt>
                <c:pt idx="3">
                  <c:v>38921666.869999997</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Q1-25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cat>
            <c:strRef>
              <c:f>CF!$A$24:$A$25</c:f>
              <c:strCache>
                <c:ptCount val="2"/>
                <c:pt idx="0">
                  <c:v>SEBENAR 2024</c:v>
                </c:pt>
                <c:pt idx="1">
                  <c:v>SEBENAR Q1-25</c:v>
                </c:pt>
              </c:strCache>
            </c:strRef>
          </c:cat>
          <c:val>
            <c:numRef>
              <c:f>CF!$C$24:$C$25</c:f>
              <c:numCache>
                <c:formatCode>_(* #,##0.00_);_(* \(#,##0.00\);_(* "-"??_);_(@_)</c:formatCode>
                <c:ptCount val="2"/>
                <c:pt idx="0">
                  <c:v>125524119</c:v>
                </c:pt>
                <c:pt idx="1">
                  <c:v>9514977</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cat>
            <c:strRef>
              <c:f>CF!$A$24:$A$25</c:f>
              <c:strCache>
                <c:ptCount val="2"/>
                <c:pt idx="0">
                  <c:v>SEBENAR 2024</c:v>
                </c:pt>
                <c:pt idx="1">
                  <c:v>SEBENAR Q1-25</c:v>
                </c:pt>
              </c:strCache>
            </c:strRef>
          </c:cat>
          <c:val>
            <c:numRef>
              <c:f>CF!$D$24:$D$25</c:f>
              <c:numCache>
                <c:formatCode>_(* #,##0.00_);_(* \(#,##0.00\);_(* "-"??_);_(@_)</c:formatCode>
                <c:ptCount val="2"/>
                <c:pt idx="0" formatCode="#,##0.00_ ;\-#,##0.00\ ">
                  <c:v>-17678438</c:v>
                </c:pt>
                <c:pt idx="1">
                  <c:v>5055551</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Q1-25</c:v>
                </c:pt>
              </c:strCache>
            </c:strRef>
          </c:cat>
          <c:val>
            <c:numRef>
              <c:f>CF!$E$24:$E$25</c:f>
              <c:numCache>
                <c:formatCode>_(* #,##0.00_);_(* \(#,##0.00\);_(* "-"??_);_(@_)</c:formatCode>
                <c:ptCount val="2"/>
                <c:pt idx="0">
                  <c:v>608091383</c:v>
                </c:pt>
                <c:pt idx="1">
                  <c:v>622661911</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650000000"/>
          <c:min val="-5000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MY" sz="1100" b="1"/>
                  <a:t>PENYATA ALIRAN TUNAI Q1-2025</a:t>
                </a:r>
              </a:p>
            </c:rich>
          </c:tx>
          <c:layout>
            <c:manualLayout>
              <c:xMode val="edge"/>
              <c:yMode val="edge"/>
              <c:x val="0.36740928787680954"/>
              <c:y val="7.1549746218259533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Q1-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Q1-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14940</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14940</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44">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18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44">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16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44">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4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111.4%</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20.8%</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18.7%</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542419"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0794724" y="3719927"/>
          <a:ext cx="1542419"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800" b="1"/>
            <a:t>SASARAN Q1</a:t>
          </a:r>
          <a:endParaRPr lang="en-MY" sz="1800" b="1" baseline="0"/>
        </a:p>
      </xdr:txBody>
    </xdr:sp>
    <xdr:clientData/>
  </xdr:oneCellAnchor>
  <xdr:oneCellAnchor>
    <xdr:from>
      <xdr:col>15</xdr:col>
      <xdr:colOff>204455</xdr:colOff>
      <xdr:row>22</xdr:row>
      <xdr:rowOff>114707</xdr:rowOff>
    </xdr:from>
    <xdr:ext cx="1773115"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88026" y="4287564"/>
          <a:ext cx="1773115"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800" b="1"/>
            <a:t>PENCAPAIAN Q1</a:t>
          </a:r>
          <a:endParaRPr lang="en-MY" sz="18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8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103629"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42533" y="93331"/>
          <a:ext cx="12103629"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SUKU PERTAMA (Q1)-2025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45">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SB - 94.9%, PL - 94.7%, TR - 94.6%, TW - 94.4%, PR - 93.9%, KN - 93.5%, BPKPB - 92.8%, SI - 92.6%, BTM - 92.2%, MR - 91.1%, BSM - 90.7%, BPS - 88.4%, PP - 88.1%, BPT - 88.1%, UPF - 87.7%, PKE - 87.5%</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45">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PPUU - 84.3%, BPGK - 84.1%, BAR - 83.3%, BPS1 - 0.0%</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44">
      <xdr:nvSpPr>
        <xdr:cNvPr id="31" name="Rectangle: Rounded Corners 30">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38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247650</xdr:colOff>
      <xdr:row>32</xdr:row>
      <xdr:rowOff>13300</xdr:rowOff>
    </xdr:to>
    <xdr:sp macro="" textlink="data1!F45">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3035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BPLV - 136.2%, BPKB - 128.0%, SR - 111.0%, BLA - 105.4%, JH - 102.4%, WP - 100.1%, KD - 99.6%, ML - 99.3%, PH - 99.2%, BPK - 99.0%, BKA - 98.7%, BPB - 98.4%, BSTU - 97.9%, NS - 97.4%, SL - 96.8%, BT - 96.0%, SD - 95.7%, BKK - 95.7%</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45">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SB - 94.9%, PL - 94.7%, TR - 94.6%, TW - 94.4%, PR - 93.9%, KN - 93.5%, BPKPB - 92.8%, SI - 92.6%, BTM - 92.2%, MR - 91.1%, BSM - 90.7%, BPS - 88.4%, PP - 88.1%, BPT - 88.1%, UPF - 87.7%, PKE - 87.5%</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45">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PPUU - 84.3%, BPGK - 84.1%, BAR - 83.3%, BPS1 - 0.0%</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9</xdr:row>
      <xdr:rowOff>165100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10</xdr:row>
      <xdr:rowOff>0</xdr:rowOff>
    </xdr:from>
    <xdr:to>
      <xdr:col>15</xdr:col>
      <xdr:colOff>260350</xdr:colOff>
      <xdr:row>20</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12700</xdr:colOff>
      <xdr:row>0</xdr:row>
      <xdr:rowOff>6350</xdr:rowOff>
    </xdr:from>
    <xdr:to>
      <xdr:col>13</xdr:col>
      <xdr:colOff>12700</xdr:colOff>
      <xdr:row>21</xdr:row>
      <xdr:rowOff>158750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4.6380125" backgroundQuery="1" createdVersion="8" refreshedVersion="8" minRefreshableVersion="3" recordCount="0" supportSubquery="1" supportAdvancedDrill="1" xr:uid="{EF9E6F67-CFBD-4E16-BBC9-A28C9C54D2D5}">
  <cacheSource type="external" connectionId="12"/>
  <cacheFields count="9">
    <cacheField name="[kategori].[Kategori].[Kategori]" caption="Kategori" numFmtId="0" hierarchy="19" level="1">
      <sharedItems count="4">
        <s v="Belanja Mengurus"/>
        <s v="Belanja Modal"/>
        <s v="Belanja Program"/>
        <s v="Hasil"/>
      </sharedItems>
    </cacheField>
    <cacheField name="[Measures].[Sasaran Q1]" caption="Sasaran Q1" numFmtId="0" hierarchy="38" level="32767"/>
    <cacheField name="[Measures].[Prestasi (Sebenar/Sasaran)2]" caption="Prestasi (Sebenar/Sasaran)2" numFmtId="0" hierarchy="39" level="32767"/>
    <cacheField name="[Measures].[Pencapaian]" caption="Pencapaian" numFmtId="0" hierarchy="40" level="32767"/>
    <cacheField name="[PTJ].[PTJ2].[PTJ2]" caption="PTJ2" numFmtId="0" hierarchy="27" level="1">
      <sharedItems containsSemiMixedTypes="0" containsNonDate="0" containsString="0"/>
    </cacheField>
    <cacheField name="[PTJ].[PTJ_1].[PTJ_1]" caption="PTJ_1" numFmtId="0" hierarchy="26" level="1">
      <sharedItems containsSemiMixedTypes="0" containsNonDate="0" containsString="0"/>
    </cacheField>
    <cacheField name="[All2].[DESC].[DESC]" caption="DESC" numFmtId="0" hierarchy="1" level="1">
      <sharedItems containsSemiMixedTypes="0" containsNonDate="0" containsString="0"/>
    </cacheField>
    <cacheField name="[All2].[Kategori].[Kategori]" caption="Kategori" numFmtId="0" hierarchy="8" level="1">
      <sharedItems containsSemiMixedTypes="0" containsNonDate="0" containsString="0"/>
    </cacheField>
    <cacheField name="[KOD].[KOD].[KOD]" caption="KOD" numFmtId="0" hierarchy="21" level="1">
      <sharedItems containsSemiMixedTypes="0" containsNonDate="0" containsString="0"/>
    </cacheField>
  </cacheFields>
  <cacheHierarchies count="57">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6"/>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5" unbalanced="0"/>
    <cacheHierarchy uniqueName="[All2].[SASARAN Q1-25]" caption="SASARAN Q1-25" attribute="1" defaultMemberUniqueName="[All2].[SASARAN Q1-25].[All]" allUniqueName="[All2].[SASARAN Q1-25].[All]" dimensionUniqueName="[All2]" displayFolder="" count="0" memberValueDatatype="5" unbalanced="0"/>
    <cacheHierarchy uniqueName="[All2].[SEBENAR Q1-25]" caption="SEBENAR Q1-25" attribute="1" defaultMemberUniqueName="[All2].[SEBENAR Q1-25].[All]" allUniqueName="[All2].[SEBENAR Q1-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7"/>
      </fieldsUsage>
    </cacheHierarchy>
    <cacheHierarchy uniqueName="[BELJ PROG].[DESC]" caption="DESC" attribute="1" defaultMemberUniqueName="[BELJ PROG].[DESC].[All]" allUniqueName="[BELJ PROG].[DESC].[All]" dimensionUniqueName="[BELJ PROG]" displayFolder="" count="0" memberValueDatatype="130" unbalanced="0"/>
    <cacheHierarchy uniqueName="[BELJ PROG].[KOD1]" caption="KOD1" attribute="1" defaultMemberUniqueName="[BELJ PROG].[KOD1].[All]" allUniqueName="[BELJ PROG].[KOD1].[All]" dimensionUniqueName="[BELJ PROG]" displayFolder="" count="0" memberValueDatatype="130" unbalanced="0"/>
    <cacheHierarchy uniqueName="[BELJ PROG].[PTJ]" caption="PTJ" attribute="1" defaultMemberUniqueName="[BELJ PROG].[PTJ].[All]" allUniqueName="[BELJ PROG].[PTJ].[All]" dimensionUniqueName="[BELJ PROG]" displayFolder="" count="0" memberValueDatatype="130" unbalanced="0"/>
    <cacheHierarchy uniqueName="[BELJ PROG].[PTJ1]" caption="PTJ1" attribute="1" defaultMemberUniqueName="[BELJ PROG].[PTJ1].[All]" allUniqueName="[BELJ PROG].[PTJ1].[All]" dimensionUniqueName="[BELJ PROG]" displayFolder="" count="0" memberValueDatatype="130" unbalanced="0"/>
    <cacheHierarchy uniqueName="[BELJ PROG].[BAJET 2025]" caption="BAJET 2025" attribute="1" defaultMemberUniqueName="[BELJ PROG].[BAJET 2025].[All]" allUniqueName="[BELJ PROG].[BAJET 2025].[All]" dimensionUniqueName="[BELJ PROG]" displayFolder="" count="0" memberValueDatatype="20" unbalanced="0"/>
    <cacheHierarchy uniqueName="[BELJ PROG].[SASARAN Q1-25]" caption="SASARAN Q1-25" attribute="1" defaultMemberUniqueName="[BELJ PROG].[SASARAN Q1-25].[All]" allUniqueName="[BELJ PROG].[SASARAN Q1-25].[All]" dimensionUniqueName="[BELJ PROG]" displayFolder="" count="0" memberValueDatatype="20" unbalanced="0"/>
    <cacheHierarchy uniqueName="[BELJ PROG].[SEBENAR Q1-25]" caption="SEBENAR Q1-25" attribute="1" defaultMemberUniqueName="[BELJ PROG].[SEBENAR Q1-25].[All]" allUniqueName="[BELJ PROG].[SEBENAR Q1-25].[All]" dimensionUniqueName="[BELJ PROG]" displayFolder="" count="0" memberValueDatatype="5" unbalanced="0"/>
    <cacheHierarchy uniqueName="[BELJ PROG].[Kategori]" caption="Kategori" attribute="1" defaultMemberUniqueName="[BELJ PROG].[Kategori].[All]" allUniqueName="[BELJ PROG].[Kategori].[All]" dimensionUniqueName="[BELJ PROG]"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8"/>
      </fieldsUsage>
    </cacheHierarchy>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5"/>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BAJET 2025 2]" caption="Sum of BAJET 2025 2" measure="1" displayFolder="" measureGroup="All2" count="0">
      <extLst>
        <ext xmlns:x15="http://schemas.microsoft.com/office/spreadsheetml/2010/11/main" uri="{B97F6D7D-B522-45F9-BDA1-12C45D357490}">
          <x15:cacheHierarchy aggregatedColumn="5"/>
        </ext>
      </extLst>
    </cacheHierarchy>
    <cacheHierarchy uniqueName="[Measures].[Sum of SASARAN Q1-25 2]" caption="Sum of SASARAN Q1-25 2" measure="1" displayFolder="" measureGroup="All2" count="0">
      <extLst>
        <ext xmlns:x15="http://schemas.microsoft.com/office/spreadsheetml/2010/11/main" uri="{B97F6D7D-B522-45F9-BDA1-12C45D357490}">
          <x15:cacheHierarchy aggregatedColumn="6"/>
        </ext>
      </extLst>
    </cacheHierarchy>
    <cacheHierarchy uniqueName="[Measures].[Sum of SEBENAR Q1-25 2]" caption="Sum of SEBENAR Q1-25 2" measure="1" displayFolder="" measureGroup="All2" count="0">
      <extLst>
        <ext xmlns:x15="http://schemas.microsoft.com/office/spreadsheetml/2010/11/main" uri="{B97F6D7D-B522-45F9-BDA1-12C45D357490}">
          <x15:cacheHierarchy aggregatedColumn="7"/>
        </ext>
      </extLst>
    </cacheHierarchy>
    <cacheHierarchy uniqueName="[Measures].[Sum of SASARAN Q1-25]" caption="Sum of SASARAN Q1-25" measure="1" displayFolder="" measureGroup="BELJ PROG" count="0">
      <extLst>
        <ext xmlns:x15="http://schemas.microsoft.com/office/spreadsheetml/2010/11/main" uri="{B97F6D7D-B522-45F9-BDA1-12C45D357490}">
          <x15:cacheHierarchy aggregatedColumn="14"/>
        </ext>
      </extLst>
    </cacheHierarchy>
    <cacheHierarchy uniqueName="[Measures].[Sum of SEBENAR Q1-25]" caption="Sum of SEBENAR Q1-25" measure="1" displayFolder="" measureGroup="BELJ PROG" count="0">
      <extLst>
        <ext xmlns:x15="http://schemas.microsoft.com/office/spreadsheetml/2010/11/main" uri="{B97F6D7D-B522-45F9-BDA1-12C45D357490}">
          <x15:cacheHierarchy aggregatedColumn="15"/>
        </ext>
      </extLst>
    </cacheHierarchy>
    <cacheHierarchy uniqueName="[Measures].[Sasaran Q1]" caption="Sasaran Q1" measure="1" displayFolder="" measureGroup="All2" count="0" oneField="1">
      <fieldsUsage count="1">
        <fieldUsage x="1"/>
      </fieldsUsage>
    </cacheHierarchy>
    <cacheHierarchy uniqueName="[Measures].[Prestasi (Sebenar/Sasaran)2]" caption="Prestasi (Sebenar/Sasaran)2" measure="1" displayFolder="" measureGroup="All2" count="0" oneField="1">
      <fieldsUsage count="1">
        <fieldUsage x="2"/>
      </fieldsUsage>
    </cacheHierarchy>
    <cacheHierarchy uniqueName="[Measures].[Pencapaian]" caption="Pencapaian" measure="1" displayFolder="" measureGroup="All2" count="0" oneField="1">
      <fieldsUsage count="1">
        <fieldUsage x="3"/>
      </fieldsUsage>
    </cacheHierarchy>
    <cacheHierarchy uniqueName="[Measures].[SASARAN BELJ PRG%]" caption="SASARAN BELJ PRG%" measure="1" displayFolder="" measureGroup="BELJ PROG" count="0"/>
    <cacheHierarchy uniqueName="[Measures].[PRESTASI BELJ PRG%]" caption="PRESTASI BELJ PRG%" measure="1" displayFolder="" measureGroup="BELJ PROG" count="0"/>
    <cacheHierarchy uniqueName="[Measures].[PENCAPAIAN BEL PRGM]" caption="PENCAPAIAN BEL PRGM" measure="1" displayFolder="" measureGroup="BELJ PROG"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BELJ PROG]" caption="__XL_Count BELJ PROG" measure="1" displayFolder="" measureGroup="BELJ PROG"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9">
    <dimension name="All2" uniqueName="[All2]" caption="All2"/>
    <dimension name="BELJ PROG" uniqueName="[BELJ PROG]" caption="BELJ PROG"/>
    <dimension name="DESC" uniqueName="[DESC]" caption="DESC"/>
    <dimension name="kategori" uniqueName="[kategori]" caption="kategori"/>
    <dimension name="KOD" uniqueName="[KOD]" caption="KOD"/>
    <dimension measure="1" name="Measures" uniqueName="[Measures]" caption="Measures"/>
    <dimension name="PTJ" uniqueName="[PTJ]" caption="PTJ"/>
    <dimension name="PTJ2" uniqueName="[PTJ2]" caption="PTJ2"/>
    <dimension name="Table1" uniqueName="[Table1]" caption="Table1"/>
  </dimensions>
  <measureGroups count="8">
    <measureGroup name="All2" caption="All2"/>
    <measureGroup name="BELJ PROG" caption="BELJ PROG"/>
    <measureGroup name="DESC" caption="DESC"/>
    <measureGroup name="kategori" caption="kategori"/>
    <measureGroup name="KOD" caption="KOD"/>
    <measureGroup name="PTJ" caption="PTJ"/>
    <measureGroup name="PTJ2" caption="PTJ2"/>
    <measureGroup name="Table1" caption="Table1"/>
  </measureGroups>
  <maps count="17">
    <map measureGroup="0" dimension="0"/>
    <map measureGroup="0" dimension="2"/>
    <map measureGroup="0" dimension="3"/>
    <map measureGroup="0" dimension="4"/>
    <map measureGroup="0" dimension="6"/>
    <map measureGroup="0" dimension="7"/>
    <map measureGroup="1" dimension="1"/>
    <map measureGroup="1" dimension="2"/>
    <map measureGroup="1" dimension="3"/>
    <map measureGroup="1" dimension="6"/>
    <map measureGroup="1" dimension="7"/>
    <map measureGroup="2" dimension="2"/>
    <map measureGroup="3" dimension="3"/>
    <map measureGroup="4" dimension="4"/>
    <map measureGroup="5" dimension="6"/>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4.638014583332" backgroundQuery="1" createdVersion="8" refreshedVersion="8" minRefreshableVersion="3" recordCount="0" supportSubquery="1" supportAdvancedDrill="1" xr:uid="{F1A503E4-7462-4647-BC9D-9D22E0FA4E3F}">
  <cacheSource type="external" connectionId="12"/>
  <cacheFields count="9">
    <cacheField name="[PTJ].[PTJ_1].[PTJ_1]" caption="PTJ_1" numFmtId="0" hierarchy="26" level="1">
      <sharedItems count="38">
        <s v="BAR"/>
        <s v="BKA"/>
        <s v="BKK"/>
        <s v="BLA"/>
        <s v="BPB"/>
        <s v="BPGK"/>
        <s v="BPK"/>
        <s v="BPKB"/>
        <s v="BPKPB"/>
        <s v="BPLV"/>
        <s v="BPS"/>
        <s v="BPS1"/>
        <s v="BPT"/>
        <s v="BSM"/>
        <s v="BSTU"/>
        <s v="BT"/>
        <s v="BTM"/>
        <s v="JH"/>
        <s v="KD"/>
        <s v="KN"/>
        <s v="ML"/>
        <s v="MR"/>
        <s v="NS"/>
        <s v="PH"/>
        <s v="PKE"/>
        <s v="PL"/>
        <s v="PP"/>
        <s v="PPUU"/>
        <s v="PR"/>
        <s v="SB"/>
        <s v="SD"/>
        <s v="SI"/>
        <s v="SL"/>
        <s v="SR"/>
        <s v="TR"/>
        <s v="TW"/>
        <s v="UPF"/>
        <s v="WP"/>
      </sharedItems>
    </cacheField>
    <cacheField name="[All2].[PTJ].[PTJ]" caption="PTJ" numFmtId="0" hierarchy="3" level="1">
      <sharedItems containsSemiMixedTypes="0" containsNonDate="0" containsString="0"/>
    </cacheField>
    <cacheField name="[Measures].[Sasaran Q1]" caption="Sasaran Q1" numFmtId="0" hierarchy="38" level="32767"/>
    <cacheField name="[Measures].[Prestasi (Sebenar/Sasaran)2]" caption="Prestasi (Sebenar/Sasaran)2" numFmtId="0" hierarchy="39" level="32767"/>
    <cacheField name="[Measures].[Pencapaian]" caption="Pencapaian" numFmtId="0" hierarchy="40" level="32767"/>
    <cacheField name="[PTJ].[PTJ2].[PTJ2]" caption="PTJ2" numFmtId="0" hierarchy="27" level="1">
      <sharedItems containsSemiMixedTypes="0" containsNonDate="0" containsString="0"/>
    </cacheField>
    <cacheField name="[All2].[DESC].[DESC]" caption="DESC" numFmtId="0" hierarchy="1" level="1">
      <sharedItems containsSemiMixedTypes="0" containsNonDate="0" containsString="0"/>
    </cacheField>
    <cacheField name="[All2].[Kategori].[Kategori]" caption="Kategori" numFmtId="0" hierarchy="8" level="1">
      <sharedItems containsSemiMixedTypes="0" containsNonDate="0" containsString="0"/>
    </cacheField>
    <cacheField name="[KOD].[KOD].[KOD]" caption="KOD" numFmtId="0" hierarchy="21" level="1">
      <sharedItems containsSemiMixedTypes="0" containsNonDate="0" containsString="0"/>
    </cacheField>
  </cacheFields>
  <cacheHierarchies count="57">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6"/>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5" unbalanced="0"/>
    <cacheHierarchy uniqueName="[All2].[SASARAN Q1-25]" caption="SASARAN Q1-25" attribute="1" defaultMemberUniqueName="[All2].[SASARAN Q1-25].[All]" allUniqueName="[All2].[SASARAN Q1-25].[All]" dimensionUniqueName="[All2]" displayFolder="" count="0" memberValueDatatype="5" unbalanced="0"/>
    <cacheHierarchy uniqueName="[All2].[SEBENAR Q1-25]" caption="SEBENAR Q1-25" attribute="1" defaultMemberUniqueName="[All2].[SEBENAR Q1-25].[All]" allUniqueName="[All2].[SEBENAR Q1-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7"/>
      </fieldsUsage>
    </cacheHierarchy>
    <cacheHierarchy uniqueName="[BELJ PROG].[DESC]" caption="DESC" attribute="1" defaultMemberUniqueName="[BELJ PROG].[DESC].[All]" allUniqueName="[BELJ PROG].[DESC].[All]" dimensionUniqueName="[BELJ PROG]" displayFolder="" count="0" memberValueDatatype="130" unbalanced="0"/>
    <cacheHierarchy uniqueName="[BELJ PROG].[KOD1]" caption="KOD1" attribute="1" defaultMemberUniqueName="[BELJ PROG].[KOD1].[All]" allUniqueName="[BELJ PROG].[KOD1].[All]" dimensionUniqueName="[BELJ PROG]" displayFolder="" count="0" memberValueDatatype="130" unbalanced="0"/>
    <cacheHierarchy uniqueName="[BELJ PROG].[PTJ]" caption="PTJ" attribute="1" defaultMemberUniqueName="[BELJ PROG].[PTJ].[All]" allUniqueName="[BELJ PROG].[PTJ].[All]" dimensionUniqueName="[BELJ PROG]" displayFolder="" count="0" memberValueDatatype="130" unbalanced="0"/>
    <cacheHierarchy uniqueName="[BELJ PROG].[PTJ1]" caption="PTJ1" attribute="1" defaultMemberUniqueName="[BELJ PROG].[PTJ1].[All]" allUniqueName="[BELJ PROG].[PTJ1].[All]" dimensionUniqueName="[BELJ PROG]" displayFolder="" count="0" memberValueDatatype="130" unbalanced="0"/>
    <cacheHierarchy uniqueName="[BELJ PROG].[BAJET 2025]" caption="BAJET 2025" attribute="1" defaultMemberUniqueName="[BELJ PROG].[BAJET 2025].[All]" allUniqueName="[BELJ PROG].[BAJET 2025].[All]" dimensionUniqueName="[BELJ PROG]" displayFolder="" count="0" memberValueDatatype="20" unbalanced="0"/>
    <cacheHierarchy uniqueName="[BELJ PROG].[SASARAN Q1-25]" caption="SASARAN Q1-25" attribute="1" defaultMemberUniqueName="[BELJ PROG].[SASARAN Q1-25].[All]" allUniqueName="[BELJ PROG].[SASARAN Q1-25].[All]" dimensionUniqueName="[BELJ PROG]" displayFolder="" count="0" memberValueDatatype="20" unbalanced="0"/>
    <cacheHierarchy uniqueName="[BELJ PROG].[SEBENAR Q1-25]" caption="SEBENAR Q1-25" attribute="1" defaultMemberUniqueName="[BELJ PROG].[SEBENAR Q1-25].[All]" allUniqueName="[BELJ PROG].[SEBENAR Q1-25].[All]" dimensionUniqueName="[BELJ PROG]" displayFolder="" count="0" memberValueDatatype="5" unbalanced="0"/>
    <cacheHierarchy uniqueName="[BELJ PROG].[Kategori]" caption="Kategori" attribute="1" defaultMemberUniqueName="[BELJ PROG].[Kategori].[All]" allUniqueName="[BELJ PROG].[Kategori].[All]" dimensionUniqueName="[BELJ PROG]"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8"/>
      </fieldsUsage>
    </cacheHierarchy>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BAJET 2025 2]" caption="Sum of BAJET 2025 2" measure="1" displayFolder="" measureGroup="All2" count="0">
      <extLst>
        <ext xmlns:x15="http://schemas.microsoft.com/office/spreadsheetml/2010/11/main" uri="{B97F6D7D-B522-45F9-BDA1-12C45D357490}">
          <x15:cacheHierarchy aggregatedColumn="5"/>
        </ext>
      </extLst>
    </cacheHierarchy>
    <cacheHierarchy uniqueName="[Measures].[Sum of SASARAN Q1-25 2]" caption="Sum of SASARAN Q1-25 2" measure="1" displayFolder="" measureGroup="All2" count="0">
      <extLst>
        <ext xmlns:x15="http://schemas.microsoft.com/office/spreadsheetml/2010/11/main" uri="{B97F6D7D-B522-45F9-BDA1-12C45D357490}">
          <x15:cacheHierarchy aggregatedColumn="6"/>
        </ext>
      </extLst>
    </cacheHierarchy>
    <cacheHierarchy uniqueName="[Measures].[Sum of SEBENAR Q1-25 2]" caption="Sum of SEBENAR Q1-25 2" measure="1" displayFolder="" measureGroup="All2" count="0">
      <extLst>
        <ext xmlns:x15="http://schemas.microsoft.com/office/spreadsheetml/2010/11/main" uri="{B97F6D7D-B522-45F9-BDA1-12C45D357490}">
          <x15:cacheHierarchy aggregatedColumn="7"/>
        </ext>
      </extLst>
    </cacheHierarchy>
    <cacheHierarchy uniqueName="[Measures].[Sum of SASARAN Q1-25]" caption="Sum of SASARAN Q1-25" measure="1" displayFolder="" measureGroup="BELJ PROG" count="0">
      <extLst>
        <ext xmlns:x15="http://schemas.microsoft.com/office/spreadsheetml/2010/11/main" uri="{B97F6D7D-B522-45F9-BDA1-12C45D357490}">
          <x15:cacheHierarchy aggregatedColumn="14"/>
        </ext>
      </extLst>
    </cacheHierarchy>
    <cacheHierarchy uniqueName="[Measures].[Sum of SEBENAR Q1-25]" caption="Sum of SEBENAR Q1-25" measure="1" displayFolder="" measureGroup="BELJ PROG" count="0">
      <extLst>
        <ext xmlns:x15="http://schemas.microsoft.com/office/spreadsheetml/2010/11/main" uri="{B97F6D7D-B522-45F9-BDA1-12C45D357490}">
          <x15:cacheHierarchy aggregatedColumn="15"/>
        </ext>
      </extLst>
    </cacheHierarchy>
    <cacheHierarchy uniqueName="[Measures].[Sasaran Q1]" caption="Sasaran Q1" measure="1" displayFolder="" measureGroup="All2" count="0" oneField="1">
      <fieldsUsage count="1">
        <fieldUsage x="2"/>
      </fieldsUsage>
    </cacheHierarchy>
    <cacheHierarchy uniqueName="[Measures].[Prestasi (Sebenar/Sasaran)2]" caption="Prestasi (Sebenar/Sasaran)2" measure="1" displayFolder="" measureGroup="All2" count="0" oneField="1">
      <fieldsUsage count="1">
        <fieldUsage x="3"/>
      </fieldsUsage>
    </cacheHierarchy>
    <cacheHierarchy uniqueName="[Measures].[Pencapaian]" caption="Pencapaian" measure="1" displayFolder="" measureGroup="All2" count="0" oneField="1">
      <fieldsUsage count="1">
        <fieldUsage x="4"/>
      </fieldsUsage>
    </cacheHierarchy>
    <cacheHierarchy uniqueName="[Measures].[SASARAN BELJ PRG%]" caption="SASARAN BELJ PRG%" measure="1" displayFolder="" measureGroup="BELJ PROG" count="0"/>
    <cacheHierarchy uniqueName="[Measures].[PRESTASI BELJ PRG%]" caption="PRESTASI BELJ PRG%" measure="1" displayFolder="" measureGroup="BELJ PROG" count="0"/>
    <cacheHierarchy uniqueName="[Measures].[PENCAPAIAN BEL PRGM]" caption="PENCAPAIAN BEL PRGM" measure="1" displayFolder="" measureGroup="BELJ PROG"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BELJ PROG]" caption="__XL_Count BELJ PROG" measure="1" displayFolder="" measureGroup="BELJ PROG"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9">
    <dimension name="All2" uniqueName="[All2]" caption="All2"/>
    <dimension name="BELJ PROG" uniqueName="[BELJ PROG]" caption="BELJ PROG"/>
    <dimension name="DESC" uniqueName="[DESC]" caption="DESC"/>
    <dimension name="kategori" uniqueName="[kategori]" caption="kategori"/>
    <dimension name="KOD" uniqueName="[KOD]" caption="KOD"/>
    <dimension measure="1" name="Measures" uniqueName="[Measures]" caption="Measures"/>
    <dimension name="PTJ" uniqueName="[PTJ]" caption="PTJ"/>
    <dimension name="PTJ2" uniqueName="[PTJ2]" caption="PTJ2"/>
    <dimension name="Table1" uniqueName="[Table1]" caption="Table1"/>
  </dimensions>
  <measureGroups count="8">
    <measureGroup name="All2" caption="All2"/>
    <measureGroup name="BELJ PROG" caption="BELJ PROG"/>
    <measureGroup name="DESC" caption="DESC"/>
    <measureGroup name="kategori" caption="kategori"/>
    <measureGroup name="KOD" caption="KOD"/>
    <measureGroup name="PTJ" caption="PTJ"/>
    <measureGroup name="PTJ2" caption="PTJ2"/>
    <measureGroup name="Table1" caption="Table1"/>
  </measureGroups>
  <maps count="17">
    <map measureGroup="0" dimension="0"/>
    <map measureGroup="0" dimension="2"/>
    <map measureGroup="0" dimension="3"/>
    <map measureGroup="0" dimension="4"/>
    <map measureGroup="0" dimension="6"/>
    <map measureGroup="0" dimension="7"/>
    <map measureGroup="1" dimension="1"/>
    <map measureGroup="1" dimension="2"/>
    <map measureGroup="1" dimension="3"/>
    <map measureGroup="1" dimension="6"/>
    <map measureGroup="1" dimension="7"/>
    <map measureGroup="2" dimension="2"/>
    <map measureGroup="3" dimension="3"/>
    <map measureGroup="4" dimension="4"/>
    <map measureGroup="5" dimension="6"/>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4.638016203702" backgroundQuery="1" createdVersion="8" refreshedVersion="8" minRefreshableVersion="3" recordCount="0" supportSubquery="1" supportAdvancedDrill="1" xr:uid="{70DF4304-51C7-4A02-943F-7CFBDA0BA509}">
  <cacheSource type="external" connectionId="12"/>
  <cacheFields count="6">
    <cacheField name="[PTJ].[PTJ_1].[PTJ_1]" caption="PTJ_1" numFmtId="0" hierarchy="26" level="1">
      <sharedItems count="38">
        <s v="BAR"/>
        <s v="BKA"/>
        <s v="BKK"/>
        <s v="BLA"/>
        <s v="BPB"/>
        <s v="BPGK"/>
        <s v="BPK"/>
        <s v="BPKB"/>
        <s v="BPKPB"/>
        <s v="BPLV"/>
        <s v="BPS"/>
        <s v="BPS1"/>
        <s v="BPT"/>
        <s v="BSM"/>
        <s v="BSTU"/>
        <s v="BT"/>
        <s v="BTM"/>
        <s v="JH"/>
        <s v="KD"/>
        <s v="KN"/>
        <s v="ML"/>
        <s v="MR"/>
        <s v="NS"/>
        <s v="PH"/>
        <s v="PKE"/>
        <s v="PL"/>
        <s v="PP"/>
        <s v="PPUU"/>
        <s v="PR"/>
        <s v="SB"/>
        <s v="SD"/>
        <s v="SI"/>
        <s v="SL"/>
        <s v="SR"/>
        <s v="TR"/>
        <s v="TW"/>
        <s v="UPF"/>
        <s v="WP"/>
      </sharedItems>
    </cacheField>
    <cacheField name="[Measures].[Pencapaian]" caption="Pencapaian" numFmtId="0" hierarchy="40" level="32767"/>
    <cacheField name="[PTJ].[PTJ2].[PTJ2]" caption="PTJ2" numFmtId="0" hierarchy="27" level="1">
      <sharedItems containsSemiMixedTypes="0" containsNonDate="0" containsString="0"/>
    </cacheField>
    <cacheField name="[All2].[DESC].[DESC]" caption="DESC" numFmtId="0" hierarchy="1" level="1">
      <sharedItems containsSemiMixedTypes="0" containsNonDate="0" containsString="0"/>
    </cacheField>
    <cacheField name="[All2].[Kategori].[Kategori]" caption="Kategori" numFmtId="0" hierarchy="8" level="1">
      <sharedItems containsSemiMixedTypes="0" containsNonDate="0" containsString="0"/>
    </cacheField>
    <cacheField name="[KOD].[KOD].[KOD]" caption="KOD" numFmtId="0" hierarchy="21" level="1">
      <sharedItems containsSemiMixedTypes="0" containsNonDate="0" containsString="0"/>
    </cacheField>
  </cacheFields>
  <cacheHierarchies count="57">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5" unbalanced="0"/>
    <cacheHierarchy uniqueName="[All2].[SASARAN Q1-25]" caption="SASARAN Q1-25" attribute="1" defaultMemberUniqueName="[All2].[SASARAN Q1-25].[All]" allUniqueName="[All2].[SASARAN Q1-25].[All]" dimensionUniqueName="[All2]" displayFolder="" count="0" memberValueDatatype="5" unbalanced="0"/>
    <cacheHierarchy uniqueName="[All2].[SEBENAR Q1-25]" caption="SEBENAR Q1-25" attribute="1" defaultMemberUniqueName="[All2].[SEBENAR Q1-25].[All]" allUniqueName="[All2].[SEBENAR Q1-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4"/>
      </fieldsUsage>
    </cacheHierarchy>
    <cacheHierarchy uniqueName="[BELJ PROG].[DESC]" caption="DESC" attribute="1" defaultMemberUniqueName="[BELJ PROG].[DESC].[All]" allUniqueName="[BELJ PROG].[DESC].[All]" dimensionUniqueName="[BELJ PROG]" displayFolder="" count="0" memberValueDatatype="130" unbalanced="0"/>
    <cacheHierarchy uniqueName="[BELJ PROG].[KOD1]" caption="KOD1" attribute="1" defaultMemberUniqueName="[BELJ PROG].[KOD1].[All]" allUniqueName="[BELJ PROG].[KOD1].[All]" dimensionUniqueName="[BELJ PROG]" displayFolder="" count="0" memberValueDatatype="130" unbalanced="0"/>
    <cacheHierarchy uniqueName="[BELJ PROG].[PTJ]" caption="PTJ" attribute="1" defaultMemberUniqueName="[BELJ PROG].[PTJ].[All]" allUniqueName="[BELJ PROG].[PTJ].[All]" dimensionUniqueName="[BELJ PROG]" displayFolder="" count="0" memberValueDatatype="130" unbalanced="0"/>
    <cacheHierarchy uniqueName="[BELJ PROG].[PTJ1]" caption="PTJ1" attribute="1" defaultMemberUniqueName="[BELJ PROG].[PTJ1].[All]" allUniqueName="[BELJ PROG].[PTJ1].[All]" dimensionUniqueName="[BELJ PROG]" displayFolder="" count="0" memberValueDatatype="130" unbalanced="0"/>
    <cacheHierarchy uniqueName="[BELJ PROG].[BAJET 2025]" caption="BAJET 2025" attribute="1" defaultMemberUniqueName="[BELJ PROG].[BAJET 2025].[All]" allUniqueName="[BELJ PROG].[BAJET 2025].[All]" dimensionUniqueName="[BELJ PROG]" displayFolder="" count="0" memberValueDatatype="20" unbalanced="0"/>
    <cacheHierarchy uniqueName="[BELJ PROG].[SASARAN Q1-25]" caption="SASARAN Q1-25" attribute="1" defaultMemberUniqueName="[BELJ PROG].[SASARAN Q1-25].[All]" allUniqueName="[BELJ PROG].[SASARAN Q1-25].[All]" dimensionUniqueName="[BELJ PROG]" displayFolder="" count="0" memberValueDatatype="20" unbalanced="0"/>
    <cacheHierarchy uniqueName="[BELJ PROG].[SEBENAR Q1-25]" caption="SEBENAR Q1-25" attribute="1" defaultMemberUniqueName="[BELJ PROG].[SEBENAR Q1-25].[All]" allUniqueName="[BELJ PROG].[SEBENAR Q1-25].[All]" dimensionUniqueName="[BELJ PROG]" displayFolder="" count="0" memberValueDatatype="5" unbalanced="0"/>
    <cacheHierarchy uniqueName="[BELJ PROG].[Kategori]" caption="Kategori" attribute="1" defaultMemberUniqueName="[BELJ PROG].[Kategori].[All]" allUniqueName="[BELJ PROG].[Kategori].[All]" dimensionUniqueName="[BELJ PROG]"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2"/>
      </fieldsUsage>
    </cacheHierarchy>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BAJET 2025 2]" caption="Sum of BAJET 2025 2" measure="1" displayFolder="" measureGroup="All2" count="0">
      <extLst>
        <ext xmlns:x15="http://schemas.microsoft.com/office/spreadsheetml/2010/11/main" uri="{B97F6D7D-B522-45F9-BDA1-12C45D357490}">
          <x15:cacheHierarchy aggregatedColumn="5"/>
        </ext>
      </extLst>
    </cacheHierarchy>
    <cacheHierarchy uniqueName="[Measures].[Sum of SASARAN Q1-25 2]" caption="Sum of SASARAN Q1-25 2" measure="1" displayFolder="" measureGroup="All2" count="0">
      <extLst>
        <ext xmlns:x15="http://schemas.microsoft.com/office/spreadsheetml/2010/11/main" uri="{B97F6D7D-B522-45F9-BDA1-12C45D357490}">
          <x15:cacheHierarchy aggregatedColumn="6"/>
        </ext>
      </extLst>
    </cacheHierarchy>
    <cacheHierarchy uniqueName="[Measures].[Sum of SEBENAR Q1-25 2]" caption="Sum of SEBENAR Q1-25 2" measure="1" displayFolder="" measureGroup="All2" count="0">
      <extLst>
        <ext xmlns:x15="http://schemas.microsoft.com/office/spreadsheetml/2010/11/main" uri="{B97F6D7D-B522-45F9-BDA1-12C45D357490}">
          <x15:cacheHierarchy aggregatedColumn="7"/>
        </ext>
      </extLst>
    </cacheHierarchy>
    <cacheHierarchy uniqueName="[Measures].[Sum of SASARAN Q1-25]" caption="Sum of SASARAN Q1-25" measure="1" displayFolder="" measureGroup="BELJ PROG" count="0">
      <extLst>
        <ext xmlns:x15="http://schemas.microsoft.com/office/spreadsheetml/2010/11/main" uri="{B97F6D7D-B522-45F9-BDA1-12C45D357490}">
          <x15:cacheHierarchy aggregatedColumn="14"/>
        </ext>
      </extLst>
    </cacheHierarchy>
    <cacheHierarchy uniqueName="[Measures].[Sum of SEBENAR Q1-25]" caption="Sum of SEBENAR Q1-25" measure="1" displayFolder="" measureGroup="BELJ PROG" count="0">
      <extLst>
        <ext xmlns:x15="http://schemas.microsoft.com/office/spreadsheetml/2010/11/main" uri="{B97F6D7D-B522-45F9-BDA1-12C45D357490}">
          <x15:cacheHierarchy aggregatedColumn="15"/>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oneField="1">
      <fieldsUsage count="1">
        <fieldUsage x="1"/>
      </fieldsUsage>
    </cacheHierarchy>
    <cacheHierarchy uniqueName="[Measures].[SASARAN BELJ PRG%]" caption="SASARAN BELJ PRG%" measure="1" displayFolder="" measureGroup="BELJ PROG" count="0"/>
    <cacheHierarchy uniqueName="[Measures].[PRESTASI BELJ PRG%]" caption="PRESTASI BELJ PRG%" measure="1" displayFolder="" measureGroup="BELJ PROG" count="0"/>
    <cacheHierarchy uniqueName="[Measures].[PENCAPAIAN BEL PRGM]" caption="PENCAPAIAN BEL PRGM" measure="1" displayFolder="" measureGroup="BELJ PROG"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BELJ PROG]" caption="__XL_Count BELJ PROG" measure="1" displayFolder="" measureGroup="BELJ PROG"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9">
    <dimension name="All2" uniqueName="[All2]" caption="All2"/>
    <dimension name="BELJ PROG" uniqueName="[BELJ PROG]" caption="BELJ PROG"/>
    <dimension name="DESC" uniqueName="[DESC]" caption="DESC"/>
    <dimension name="kategori" uniqueName="[kategori]" caption="kategori"/>
    <dimension name="KOD" uniqueName="[KOD]" caption="KOD"/>
    <dimension measure="1" name="Measures" uniqueName="[Measures]" caption="Measures"/>
    <dimension name="PTJ" uniqueName="[PTJ]" caption="PTJ"/>
    <dimension name="PTJ2" uniqueName="[PTJ2]" caption="PTJ2"/>
    <dimension name="Table1" uniqueName="[Table1]" caption="Table1"/>
  </dimensions>
  <measureGroups count="8">
    <measureGroup name="All2" caption="All2"/>
    <measureGroup name="BELJ PROG" caption="BELJ PROG"/>
    <measureGroup name="DESC" caption="DESC"/>
    <measureGroup name="kategori" caption="kategori"/>
    <measureGroup name="KOD" caption="KOD"/>
    <measureGroup name="PTJ" caption="PTJ"/>
    <measureGroup name="PTJ2" caption="PTJ2"/>
    <measureGroup name="Table1" caption="Table1"/>
  </measureGroups>
  <maps count="17">
    <map measureGroup="0" dimension="0"/>
    <map measureGroup="0" dimension="2"/>
    <map measureGroup="0" dimension="3"/>
    <map measureGroup="0" dimension="4"/>
    <map measureGroup="0" dimension="6"/>
    <map measureGroup="0" dimension="7"/>
    <map measureGroup="1" dimension="1"/>
    <map measureGroup="1" dimension="2"/>
    <map measureGroup="1" dimension="3"/>
    <map measureGroup="1" dimension="6"/>
    <map measureGroup="1" dimension="7"/>
    <map measureGroup="2" dimension="2"/>
    <map measureGroup="3" dimension="3"/>
    <map measureGroup="4" dimension="4"/>
    <map measureGroup="5" dimension="6"/>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4.63801840278" backgroundQuery="1" createdVersion="8" refreshedVersion="8" minRefreshableVersion="3" recordCount="0" supportSubquery="1" supportAdvancedDrill="1" xr:uid="{1623FA63-0485-4AC3-915C-550DAFDD9C3F}">
  <cacheSource type="external" connectionId="12"/>
  <cacheFields count="9">
    <cacheField name="[Measures].[Sum of SEBENAR Q1-25 2]" caption="Sum of SEBENAR Q1-25 2" numFmtId="0" hierarchy="35" level="32767"/>
    <cacheField name="[All2].[PTJ].[PTJ]" caption="PTJ" numFmtId="0" hierarchy="3" level="1">
      <sharedItems count="2">
        <s v="HQ"/>
        <s v="Negeri"/>
      </sharedItems>
    </cacheField>
    <cacheField name="[All2].[KOD1].[KOD1]" caption="KOD1" numFmtId="0" hierarchy="2" level="1">
      <sharedItems count="5">
        <s v="H1"/>
        <s v="H2"/>
        <s v="H3"/>
        <s v="H4"/>
        <s v="H5"/>
      </sharedItems>
    </cacheField>
    <cacheField name="[All2].[DESC].[DESC]" caption="DESC" numFmtId="0" hierarchy="1" level="1">
      <sharedItems count="37">
        <s v="A. Emolumen"/>
        <s v="A.Bangunan  ABM"/>
        <s v="A.Levi Kontrak"/>
        <s v="B. Elaun Perjalanan"/>
        <s v="B.Bangunan"/>
        <s v="B.Yuran Pendaftaran"/>
        <s v="C. Perhubungan dan Utiliti"/>
        <s v="C.Faedah &amp; Dividen"/>
        <s v="C.Kelengkapan Pejabat"/>
        <s v="D. Sewaan"/>
        <s v="D.Penilaian Kemahiran"/>
        <s v="D.Perabot"/>
        <s v="E. Bekalan"/>
        <s v="E.Pelbagai Hasil"/>
        <s v="F. Penyelenggaraan"/>
        <s v="G. Perkhidmatan Iktisas"/>
        <s v="H.Latihan Staf"/>
        <s v="I.Susutnilai"/>
        <s v="J.Hutang Ragu"/>
        <s v="Kenderaan"/>
        <s v="Komputer"/>
        <s v="PPUU"/>
        <s v="SDK-BKK"/>
        <s v="SDK-BSTU"/>
        <s v="Sistem Komputer"/>
        <s v="SPA-BLA"/>
        <s v="SPA-BPKPB"/>
        <s v="SPKPB-BPB"/>
        <s v="SPKPB-BPK"/>
        <s v="SPN-BPGK"/>
        <s v="SPN-BPKB"/>
        <s v="SPN-BPLV"/>
        <s v="SPTB-BPS"/>
        <s v="SPTB-BPT"/>
        <s v="Tanah"/>
        <s v="Tanah ABM"/>
        <s v="THE MET"/>
      </sharedItems>
    </cacheField>
    <cacheField name="[Measures].[Sum of SASARAN Q1-25 2]" caption="Sum of SASARAN Q1-25 2" numFmtId="0" hierarchy="34" level="32767"/>
    <cacheField name="[PTJ].[PTJ2].[PTJ2]" caption="PTJ2" numFmtId="0" hierarchy="27" level="1">
      <sharedItems containsSemiMixedTypes="0" containsNonDate="0" containsString="0"/>
    </cacheField>
    <cacheField name="[PTJ].[PTJ_1].[PTJ_1]" caption="PTJ_1" numFmtId="0" hierarchy="26" level="1">
      <sharedItems containsSemiMixedTypes="0" containsNonDate="0" containsString="0"/>
    </cacheField>
    <cacheField name="[All2].[Kategori].[Kategori]" caption="Kategori" numFmtId="0" hierarchy="8" level="1">
      <sharedItems containsSemiMixedTypes="0" containsNonDate="0" containsString="0"/>
    </cacheField>
    <cacheField name="[KOD].[KOD].[KOD]" caption="KOD" numFmtId="0" hierarchy="21" level="1">
      <sharedItems containsSemiMixedTypes="0" containsNonDate="0" containsString="0"/>
    </cacheField>
  </cacheFields>
  <cacheHierarchies count="57">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2" memberValueDatatype="130" unbalanced="0">
      <fieldsUsage count="2">
        <fieldUsage x="-1"/>
        <fieldUsage x="2"/>
      </fieldsUsage>
    </cacheHierarchy>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5" unbalanced="0"/>
    <cacheHierarchy uniqueName="[All2].[SASARAN Q1-25]" caption="SASARAN Q1-25" attribute="1" defaultMemberUniqueName="[All2].[SASARAN Q1-25].[All]" allUniqueName="[All2].[SASARAN Q1-25].[All]" dimensionUniqueName="[All2]" displayFolder="" count="0" memberValueDatatype="5" unbalanced="0"/>
    <cacheHierarchy uniqueName="[All2].[SEBENAR Q1-25]" caption="SEBENAR Q1-25" attribute="1" defaultMemberUniqueName="[All2].[SEBENAR Q1-25].[All]" allUniqueName="[All2].[SEBENAR Q1-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7"/>
      </fieldsUsage>
    </cacheHierarchy>
    <cacheHierarchy uniqueName="[BELJ PROG].[DESC]" caption="DESC" attribute="1" defaultMemberUniqueName="[BELJ PROG].[DESC].[All]" allUniqueName="[BELJ PROG].[DESC].[All]" dimensionUniqueName="[BELJ PROG]" displayFolder="" count="0" memberValueDatatype="130" unbalanced="0"/>
    <cacheHierarchy uniqueName="[BELJ PROG].[KOD1]" caption="KOD1" attribute="1" defaultMemberUniqueName="[BELJ PROG].[KOD1].[All]" allUniqueName="[BELJ PROG].[KOD1].[All]" dimensionUniqueName="[BELJ PROG]" displayFolder="" count="0" memberValueDatatype="130" unbalanced="0"/>
    <cacheHierarchy uniqueName="[BELJ PROG].[PTJ]" caption="PTJ" attribute="1" defaultMemberUniqueName="[BELJ PROG].[PTJ].[All]" allUniqueName="[BELJ PROG].[PTJ].[All]" dimensionUniqueName="[BELJ PROG]" displayFolder="" count="0" memberValueDatatype="130" unbalanced="0"/>
    <cacheHierarchy uniqueName="[BELJ PROG].[PTJ1]" caption="PTJ1" attribute="1" defaultMemberUniqueName="[BELJ PROG].[PTJ1].[All]" allUniqueName="[BELJ PROG].[PTJ1].[All]" dimensionUniqueName="[BELJ PROG]" displayFolder="" count="0" memberValueDatatype="130" unbalanced="0"/>
    <cacheHierarchy uniqueName="[BELJ PROG].[BAJET 2025]" caption="BAJET 2025" attribute="1" defaultMemberUniqueName="[BELJ PROG].[BAJET 2025].[All]" allUniqueName="[BELJ PROG].[BAJET 2025].[All]" dimensionUniqueName="[BELJ PROG]" displayFolder="" count="0" memberValueDatatype="20" unbalanced="0"/>
    <cacheHierarchy uniqueName="[BELJ PROG].[SASARAN Q1-25]" caption="SASARAN Q1-25" attribute="1" defaultMemberUniqueName="[BELJ PROG].[SASARAN Q1-25].[All]" allUniqueName="[BELJ PROG].[SASARAN Q1-25].[All]" dimensionUniqueName="[BELJ PROG]" displayFolder="" count="0" memberValueDatatype="20" unbalanced="0"/>
    <cacheHierarchy uniqueName="[BELJ PROG].[SEBENAR Q1-25]" caption="SEBENAR Q1-25" attribute="1" defaultMemberUniqueName="[BELJ PROG].[SEBENAR Q1-25].[All]" allUniqueName="[BELJ PROG].[SEBENAR Q1-25].[All]" dimensionUniqueName="[BELJ PROG]" displayFolder="" count="0" memberValueDatatype="5" unbalanced="0"/>
    <cacheHierarchy uniqueName="[BELJ PROG].[Kategori]" caption="Kategori" attribute="1" defaultMemberUniqueName="[BELJ PROG].[Kategori].[All]" allUniqueName="[BELJ PROG].[Kategori].[All]" dimensionUniqueName="[BELJ PROG]"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8"/>
      </fieldsUsage>
    </cacheHierarchy>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6"/>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BAJET 2025 2]" caption="Sum of BAJET 2025 2" measure="1" displayFolder="" measureGroup="All2" count="0">
      <extLst>
        <ext xmlns:x15="http://schemas.microsoft.com/office/spreadsheetml/2010/11/main" uri="{B97F6D7D-B522-45F9-BDA1-12C45D357490}">
          <x15:cacheHierarchy aggregatedColumn="5"/>
        </ext>
      </extLst>
    </cacheHierarchy>
    <cacheHierarchy uniqueName="[Measures].[Sum of SASARAN Q1-25 2]" caption="Sum of SASARAN Q1-25 2" measure="1" displayFolder="" measureGroup="All2" count="0" oneField="1">
      <fieldsUsage count="1">
        <fieldUsage x="4"/>
      </fieldsUsage>
      <extLst>
        <ext xmlns:x15="http://schemas.microsoft.com/office/spreadsheetml/2010/11/main" uri="{B97F6D7D-B522-45F9-BDA1-12C45D357490}">
          <x15:cacheHierarchy aggregatedColumn="6"/>
        </ext>
      </extLst>
    </cacheHierarchy>
    <cacheHierarchy uniqueName="[Measures].[Sum of SEBENAR Q1-25 2]" caption="Sum of SEBENAR Q1-25 2" measure="1" displayFolder="" measureGroup="All2" count="0" oneField="1">
      <fieldsUsage count="1">
        <fieldUsage x="0"/>
      </fieldsUsage>
      <extLst>
        <ext xmlns:x15="http://schemas.microsoft.com/office/spreadsheetml/2010/11/main" uri="{B97F6D7D-B522-45F9-BDA1-12C45D357490}">
          <x15:cacheHierarchy aggregatedColumn="7"/>
        </ext>
      </extLst>
    </cacheHierarchy>
    <cacheHierarchy uniqueName="[Measures].[Sum of SASARAN Q1-25]" caption="Sum of SASARAN Q1-25" measure="1" displayFolder="" measureGroup="BELJ PROG" count="0">
      <extLst>
        <ext xmlns:x15="http://schemas.microsoft.com/office/spreadsheetml/2010/11/main" uri="{B97F6D7D-B522-45F9-BDA1-12C45D357490}">
          <x15:cacheHierarchy aggregatedColumn="14"/>
        </ext>
      </extLst>
    </cacheHierarchy>
    <cacheHierarchy uniqueName="[Measures].[Sum of SEBENAR Q1-25]" caption="Sum of SEBENAR Q1-25" measure="1" displayFolder="" measureGroup="BELJ PROG" count="0">
      <extLst>
        <ext xmlns:x15="http://schemas.microsoft.com/office/spreadsheetml/2010/11/main" uri="{B97F6D7D-B522-45F9-BDA1-12C45D357490}">
          <x15:cacheHierarchy aggregatedColumn="15"/>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J PRG%]" caption="SASARAN BELJ PRG%" measure="1" displayFolder="" measureGroup="BELJ PROG" count="0"/>
    <cacheHierarchy uniqueName="[Measures].[PRESTASI BELJ PRG%]" caption="PRESTASI BELJ PRG%" measure="1" displayFolder="" measureGroup="BELJ PROG" count="0"/>
    <cacheHierarchy uniqueName="[Measures].[PENCAPAIAN BEL PRGM]" caption="PENCAPAIAN BEL PRGM" measure="1" displayFolder="" measureGroup="BELJ PROG"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BELJ PROG]" caption="__XL_Count BELJ PROG" measure="1" displayFolder="" measureGroup="BELJ PROG"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9">
    <dimension name="All2" uniqueName="[All2]" caption="All2"/>
    <dimension name="BELJ PROG" uniqueName="[BELJ PROG]" caption="BELJ PROG"/>
    <dimension name="DESC" uniqueName="[DESC]" caption="DESC"/>
    <dimension name="kategori" uniqueName="[kategori]" caption="kategori"/>
    <dimension name="KOD" uniqueName="[KOD]" caption="KOD"/>
    <dimension measure="1" name="Measures" uniqueName="[Measures]" caption="Measures"/>
    <dimension name="PTJ" uniqueName="[PTJ]" caption="PTJ"/>
    <dimension name="PTJ2" uniqueName="[PTJ2]" caption="PTJ2"/>
    <dimension name="Table1" uniqueName="[Table1]" caption="Table1"/>
  </dimensions>
  <measureGroups count="8">
    <measureGroup name="All2" caption="All2"/>
    <measureGroup name="BELJ PROG" caption="BELJ PROG"/>
    <measureGroup name="DESC" caption="DESC"/>
    <measureGroup name="kategori" caption="kategori"/>
    <measureGroup name="KOD" caption="KOD"/>
    <measureGroup name="PTJ" caption="PTJ"/>
    <measureGroup name="PTJ2" caption="PTJ2"/>
    <measureGroup name="Table1" caption="Table1"/>
  </measureGroups>
  <maps count="17">
    <map measureGroup="0" dimension="0"/>
    <map measureGroup="0" dimension="2"/>
    <map measureGroup="0" dimension="3"/>
    <map measureGroup="0" dimension="4"/>
    <map measureGroup="0" dimension="6"/>
    <map measureGroup="0" dimension="7"/>
    <map measureGroup="1" dimension="1"/>
    <map measureGroup="1" dimension="2"/>
    <map measureGroup="1" dimension="3"/>
    <map measureGroup="1" dimension="6"/>
    <map measureGroup="1" dimension="7"/>
    <map measureGroup="2" dimension="2"/>
    <map measureGroup="3" dimension="3"/>
    <map measureGroup="4" dimension="4"/>
    <map measureGroup="5" dimension="6"/>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4.638020254628" backgroundQuery="1" createdVersion="8" refreshedVersion="8" minRefreshableVersion="3" recordCount="0" supportSubquery="1" supportAdvancedDrill="1" xr:uid="{CE44D01D-F622-4B02-B06A-9FDF2906C8F5}">
  <cacheSource type="external" connectionId="12"/>
  <cacheFields count="10">
    <cacheField name="[Measures].[Sum of BAJET 2025 2]" caption="Sum of BAJET 2025 2" numFmtId="0" hierarchy="33" level="32767"/>
    <cacheField name="[Measures].[Sum of SASARAN Q1-25 2]" caption="Sum of SASARAN Q1-25 2" numFmtId="0" hierarchy="34" level="32767"/>
    <cacheField name="[Measures].[Sum of SEBENAR Q1-25 2]" caption="Sum of SEBENAR Q1-25 2" numFmtId="0" hierarchy="35" level="32767"/>
    <cacheField name="[kategori].[Kategori].[Kategori]" caption="Kategori" numFmtId="0" hierarchy="19" level="1">
      <sharedItems count="4">
        <s v="Belanja Mengurus"/>
        <s v="Belanja Modal"/>
        <s v="Belanja Program"/>
        <s v="Hasil"/>
      </sharedItems>
    </cacheField>
    <cacheField name="[All2].[PTJ].[PTJ]" caption="PTJ" numFmtId="0" hierarchy="3" level="1">
      <sharedItems containsSemiMixedTypes="0" containsNonDate="0" containsString="0"/>
    </cacheField>
    <cacheField name="[PTJ].[PTJ2].[PTJ2]" caption="PTJ2" numFmtId="0" hierarchy="27" level="1">
      <sharedItems containsSemiMixedTypes="0" containsNonDate="0" containsString="0"/>
    </cacheField>
    <cacheField name="[PTJ].[PTJ_1].[PTJ_1]" caption="PTJ_1" numFmtId="0" hierarchy="26" level="1">
      <sharedItems containsSemiMixedTypes="0" containsNonDate="0" containsString="0"/>
    </cacheField>
    <cacheField name="[All2].[DESC].[DESC]" caption="DESC" numFmtId="0" hierarchy="1" level="1">
      <sharedItems containsSemiMixedTypes="0" containsNonDate="0" containsString="0"/>
    </cacheField>
    <cacheField name="[All2].[Kategori].[Kategori]" caption="Kategori" numFmtId="0" hierarchy="8" level="1">
      <sharedItems containsSemiMixedTypes="0" containsNonDate="0" containsString="0"/>
    </cacheField>
    <cacheField name="[KOD].[KOD].[KOD]" caption="KOD" numFmtId="0" hierarchy="21" level="1">
      <sharedItems containsSemiMixedTypes="0" containsNonDate="0" containsString="0"/>
    </cacheField>
  </cacheFields>
  <cacheHierarchies count="57">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7"/>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4"/>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5" unbalanced="0"/>
    <cacheHierarchy uniqueName="[All2].[SASARAN Q1-25]" caption="SASARAN Q1-25" attribute="1" defaultMemberUniqueName="[All2].[SASARAN Q1-25].[All]" allUniqueName="[All2].[SASARAN Q1-25].[All]" dimensionUniqueName="[All2]" displayFolder="" count="0" memberValueDatatype="5" unbalanced="0"/>
    <cacheHierarchy uniqueName="[All2].[SEBENAR Q1-25]" caption="SEBENAR Q1-25" attribute="1" defaultMemberUniqueName="[All2].[SEBENAR Q1-25].[All]" allUniqueName="[All2].[SEBENAR Q1-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8"/>
      </fieldsUsage>
    </cacheHierarchy>
    <cacheHierarchy uniqueName="[BELJ PROG].[DESC]" caption="DESC" attribute="1" defaultMemberUniqueName="[BELJ PROG].[DESC].[All]" allUniqueName="[BELJ PROG].[DESC].[All]" dimensionUniqueName="[BELJ PROG]" displayFolder="" count="0" memberValueDatatype="130" unbalanced="0"/>
    <cacheHierarchy uniqueName="[BELJ PROG].[KOD1]" caption="KOD1" attribute="1" defaultMemberUniqueName="[BELJ PROG].[KOD1].[All]" allUniqueName="[BELJ PROG].[KOD1].[All]" dimensionUniqueName="[BELJ PROG]" displayFolder="" count="0" memberValueDatatype="130" unbalanced="0"/>
    <cacheHierarchy uniqueName="[BELJ PROG].[PTJ]" caption="PTJ" attribute="1" defaultMemberUniqueName="[BELJ PROG].[PTJ].[All]" allUniqueName="[BELJ PROG].[PTJ].[All]" dimensionUniqueName="[BELJ PROG]" displayFolder="" count="0" memberValueDatatype="130" unbalanced="0"/>
    <cacheHierarchy uniqueName="[BELJ PROG].[PTJ1]" caption="PTJ1" attribute="1" defaultMemberUniqueName="[BELJ PROG].[PTJ1].[All]" allUniqueName="[BELJ PROG].[PTJ1].[All]" dimensionUniqueName="[BELJ PROG]" displayFolder="" count="0" memberValueDatatype="130" unbalanced="0"/>
    <cacheHierarchy uniqueName="[BELJ PROG].[BAJET 2025]" caption="BAJET 2025" attribute="1" defaultMemberUniqueName="[BELJ PROG].[BAJET 2025].[All]" allUniqueName="[BELJ PROG].[BAJET 2025].[All]" dimensionUniqueName="[BELJ PROG]" displayFolder="" count="0" memberValueDatatype="20" unbalanced="0"/>
    <cacheHierarchy uniqueName="[BELJ PROG].[SASARAN Q1-25]" caption="SASARAN Q1-25" attribute="1" defaultMemberUniqueName="[BELJ PROG].[SASARAN Q1-25].[All]" allUniqueName="[BELJ PROG].[SASARAN Q1-25].[All]" dimensionUniqueName="[BELJ PROG]" displayFolder="" count="0" memberValueDatatype="20" unbalanced="0"/>
    <cacheHierarchy uniqueName="[BELJ PROG].[SEBENAR Q1-25]" caption="SEBENAR Q1-25" attribute="1" defaultMemberUniqueName="[BELJ PROG].[SEBENAR Q1-25].[All]" allUniqueName="[BELJ PROG].[SEBENAR Q1-25].[All]" dimensionUniqueName="[BELJ PROG]" displayFolder="" count="0" memberValueDatatype="5" unbalanced="0"/>
    <cacheHierarchy uniqueName="[BELJ PROG].[Kategori]" caption="Kategori" attribute="1" defaultMemberUniqueName="[BELJ PROG].[Kategori].[All]" allUniqueName="[BELJ PROG].[Kategori].[All]" dimensionUniqueName="[BELJ PROG]"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3"/>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9"/>
      </fieldsUsage>
    </cacheHierarchy>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6"/>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BAJET 2025 2]" caption="Sum of BAJET 2025 2" measure="1" displayFolder="" measureGroup="All2" count="0" oneField="1">
      <fieldsUsage count="1">
        <fieldUsage x="0"/>
      </fieldsUsage>
      <extLst>
        <ext xmlns:x15="http://schemas.microsoft.com/office/spreadsheetml/2010/11/main" uri="{B97F6D7D-B522-45F9-BDA1-12C45D357490}">
          <x15:cacheHierarchy aggregatedColumn="5"/>
        </ext>
      </extLst>
    </cacheHierarchy>
    <cacheHierarchy uniqueName="[Measures].[Sum of SASARAN Q1-25 2]" caption="Sum of SASARAN Q1-25 2" measure="1" displayFolder="" measureGroup="All2" count="0" oneField="1">
      <fieldsUsage count="1">
        <fieldUsage x="1"/>
      </fieldsUsage>
      <extLst>
        <ext xmlns:x15="http://schemas.microsoft.com/office/spreadsheetml/2010/11/main" uri="{B97F6D7D-B522-45F9-BDA1-12C45D357490}">
          <x15:cacheHierarchy aggregatedColumn="6"/>
        </ext>
      </extLst>
    </cacheHierarchy>
    <cacheHierarchy uniqueName="[Measures].[Sum of SEBENAR Q1-25 2]" caption="Sum of SEBENAR Q1-25 2" measure="1" displayFolder="" measureGroup="All2" count="0" oneField="1">
      <fieldsUsage count="1">
        <fieldUsage x="2"/>
      </fieldsUsage>
      <extLst>
        <ext xmlns:x15="http://schemas.microsoft.com/office/spreadsheetml/2010/11/main" uri="{B97F6D7D-B522-45F9-BDA1-12C45D357490}">
          <x15:cacheHierarchy aggregatedColumn="7"/>
        </ext>
      </extLst>
    </cacheHierarchy>
    <cacheHierarchy uniqueName="[Measures].[Sum of SASARAN Q1-25]" caption="Sum of SASARAN Q1-25" measure="1" displayFolder="" measureGroup="BELJ PROG" count="0">
      <extLst>
        <ext xmlns:x15="http://schemas.microsoft.com/office/spreadsheetml/2010/11/main" uri="{B97F6D7D-B522-45F9-BDA1-12C45D357490}">
          <x15:cacheHierarchy aggregatedColumn="14"/>
        </ext>
      </extLst>
    </cacheHierarchy>
    <cacheHierarchy uniqueName="[Measures].[Sum of SEBENAR Q1-25]" caption="Sum of SEBENAR Q1-25" measure="1" displayFolder="" measureGroup="BELJ PROG" count="0">
      <extLst>
        <ext xmlns:x15="http://schemas.microsoft.com/office/spreadsheetml/2010/11/main" uri="{B97F6D7D-B522-45F9-BDA1-12C45D357490}">
          <x15:cacheHierarchy aggregatedColumn="15"/>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J PRG%]" caption="SASARAN BELJ PRG%" measure="1" displayFolder="" measureGroup="BELJ PROG" count="0"/>
    <cacheHierarchy uniqueName="[Measures].[PRESTASI BELJ PRG%]" caption="PRESTASI BELJ PRG%" measure="1" displayFolder="" measureGroup="BELJ PROG" count="0"/>
    <cacheHierarchy uniqueName="[Measures].[PENCAPAIAN BEL PRGM]" caption="PENCAPAIAN BEL PRGM" measure="1" displayFolder="" measureGroup="BELJ PROG"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BELJ PROG]" caption="__XL_Count BELJ PROG" measure="1" displayFolder="" measureGroup="BELJ PROG"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9">
    <dimension name="All2" uniqueName="[All2]" caption="All2"/>
    <dimension name="BELJ PROG" uniqueName="[BELJ PROG]" caption="BELJ PROG"/>
    <dimension name="DESC" uniqueName="[DESC]" caption="DESC"/>
    <dimension name="kategori" uniqueName="[kategori]" caption="kategori"/>
    <dimension name="KOD" uniqueName="[KOD]" caption="KOD"/>
    <dimension measure="1" name="Measures" uniqueName="[Measures]" caption="Measures"/>
    <dimension name="PTJ" uniqueName="[PTJ]" caption="PTJ"/>
    <dimension name="PTJ2" uniqueName="[PTJ2]" caption="PTJ2"/>
    <dimension name="Table1" uniqueName="[Table1]" caption="Table1"/>
  </dimensions>
  <measureGroups count="8">
    <measureGroup name="All2" caption="All2"/>
    <measureGroup name="BELJ PROG" caption="BELJ PROG"/>
    <measureGroup name="DESC" caption="DESC"/>
    <measureGroup name="kategori" caption="kategori"/>
    <measureGroup name="KOD" caption="KOD"/>
    <measureGroup name="PTJ" caption="PTJ"/>
    <measureGroup name="PTJ2" caption="PTJ2"/>
    <measureGroup name="Table1" caption="Table1"/>
  </measureGroups>
  <maps count="17">
    <map measureGroup="0" dimension="0"/>
    <map measureGroup="0" dimension="2"/>
    <map measureGroup="0" dimension="3"/>
    <map measureGroup="0" dimension="4"/>
    <map measureGroup="0" dimension="6"/>
    <map measureGroup="0" dimension="7"/>
    <map measureGroup="1" dimension="1"/>
    <map measureGroup="1" dimension="2"/>
    <map measureGroup="1" dimension="3"/>
    <map measureGroup="1" dimension="6"/>
    <map measureGroup="1" dimension="7"/>
    <map measureGroup="2" dimension="2"/>
    <map measureGroup="3" dimension="3"/>
    <map measureGroup="4" dimension="4"/>
    <map measureGroup="5" dimension="6"/>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4.638010879629" backgroundQuery="1" createdVersion="3" refreshedVersion="8" minRefreshableVersion="3" recordCount="0" supportSubquery="1" supportAdvancedDrill="1" xr:uid="{513C7524-0C39-4CCD-95DB-544496864AF0}">
  <cacheSource type="external" connectionId="12">
    <extLst>
      <ext xmlns:x14="http://schemas.microsoft.com/office/spreadsheetml/2009/9/main" uri="{F057638F-6D5F-4e77-A914-E7F072B9BCA8}">
        <x14:sourceConnection name="ThisWorkbookDataModel"/>
      </ext>
    </extLst>
  </cacheSource>
  <cacheFields count="0"/>
  <cacheHierarchies count="57">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5" unbalanced="0"/>
    <cacheHierarchy uniqueName="[All2].[SASARAN Q1-25]" caption="SASARAN Q1-25" attribute="1" defaultMemberUniqueName="[All2].[SASARAN Q1-25].[All]" allUniqueName="[All2].[SASARAN Q1-25].[All]" dimensionUniqueName="[All2]" displayFolder="" count="0" memberValueDatatype="5" unbalanced="0"/>
    <cacheHierarchy uniqueName="[All2].[SEBENAR Q1-25]" caption="SEBENAR Q1-25" attribute="1" defaultMemberUniqueName="[All2].[SEBENAR Q1-25].[All]" allUniqueName="[All2].[SEBENAR Q1-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BELJ PROG].[DESC]" caption="DESC" attribute="1" defaultMemberUniqueName="[BELJ PROG].[DESC].[All]" allUniqueName="[BELJ PROG].[DESC].[All]" dimensionUniqueName="[BELJ PROG]" displayFolder="" count="0" memberValueDatatype="130" unbalanced="0"/>
    <cacheHierarchy uniqueName="[BELJ PROG].[KOD1]" caption="KOD1" attribute="1" defaultMemberUniqueName="[BELJ PROG].[KOD1].[All]" allUniqueName="[BELJ PROG].[KOD1].[All]" dimensionUniqueName="[BELJ PROG]" displayFolder="" count="0" memberValueDatatype="130" unbalanced="0"/>
    <cacheHierarchy uniqueName="[BELJ PROG].[PTJ]" caption="PTJ" attribute="1" defaultMemberUniqueName="[BELJ PROG].[PTJ].[All]" allUniqueName="[BELJ PROG].[PTJ].[All]" dimensionUniqueName="[BELJ PROG]" displayFolder="" count="0" memberValueDatatype="130" unbalanced="0"/>
    <cacheHierarchy uniqueName="[BELJ PROG].[PTJ1]" caption="PTJ1" attribute="1" defaultMemberUniqueName="[BELJ PROG].[PTJ1].[All]" allUniqueName="[BELJ PROG].[PTJ1].[All]" dimensionUniqueName="[BELJ PROG]" displayFolder="" count="0" memberValueDatatype="130" unbalanced="0"/>
    <cacheHierarchy uniqueName="[BELJ PROG].[BAJET 2025]" caption="BAJET 2025" attribute="1" defaultMemberUniqueName="[BELJ PROG].[BAJET 2025].[All]" allUniqueName="[BELJ PROG].[BAJET 2025].[All]" dimensionUniqueName="[BELJ PROG]" displayFolder="" count="0" memberValueDatatype="20" unbalanced="0"/>
    <cacheHierarchy uniqueName="[BELJ PROG].[SASARAN Q1-25]" caption="SASARAN Q1-25" attribute="1" defaultMemberUniqueName="[BELJ PROG].[SASARAN Q1-25].[All]" allUniqueName="[BELJ PROG].[SASARAN Q1-25].[All]" dimensionUniqueName="[BELJ PROG]" displayFolder="" count="0" memberValueDatatype="20" unbalanced="0"/>
    <cacheHierarchy uniqueName="[BELJ PROG].[SEBENAR Q1-25]" caption="SEBENAR Q1-25" attribute="1" defaultMemberUniqueName="[BELJ PROG].[SEBENAR Q1-25].[All]" allUniqueName="[BELJ PROG].[SEBENAR Q1-25].[All]" dimensionUniqueName="[BELJ PROG]" displayFolder="" count="0" memberValueDatatype="5" unbalanced="0"/>
    <cacheHierarchy uniqueName="[BELJ PROG].[Kategori]" caption="Kategori" attribute="1" defaultMemberUniqueName="[BELJ PROG].[Kategori].[All]" allUniqueName="[BELJ PROG].[Kategori].[All]" dimensionUniqueName="[BELJ PROG]"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BAJET 2025 2]" caption="Sum of BAJET 2025 2" measure="1" displayFolder="" measureGroup="All2" count="0">
      <extLst>
        <ext xmlns:x15="http://schemas.microsoft.com/office/spreadsheetml/2010/11/main" uri="{B97F6D7D-B522-45F9-BDA1-12C45D357490}">
          <x15:cacheHierarchy aggregatedColumn="5"/>
        </ext>
      </extLst>
    </cacheHierarchy>
    <cacheHierarchy uniqueName="[Measures].[Sum of SASARAN Q1-25 2]" caption="Sum of SASARAN Q1-25 2" measure="1" displayFolder="" measureGroup="All2" count="0">
      <extLst>
        <ext xmlns:x15="http://schemas.microsoft.com/office/spreadsheetml/2010/11/main" uri="{B97F6D7D-B522-45F9-BDA1-12C45D357490}">
          <x15:cacheHierarchy aggregatedColumn="6"/>
        </ext>
      </extLst>
    </cacheHierarchy>
    <cacheHierarchy uniqueName="[Measures].[Sum of SEBENAR Q1-25 2]" caption="Sum of SEBENAR Q1-25 2" measure="1" displayFolder="" measureGroup="All2" count="0">
      <extLst>
        <ext xmlns:x15="http://schemas.microsoft.com/office/spreadsheetml/2010/11/main" uri="{B97F6D7D-B522-45F9-BDA1-12C45D357490}">
          <x15:cacheHierarchy aggregatedColumn="7"/>
        </ext>
      </extLst>
    </cacheHierarchy>
    <cacheHierarchy uniqueName="[Measures].[Sum of SASARAN Q1-25]" caption="Sum of SASARAN Q1-25" measure="1" displayFolder="" measureGroup="BELJ PROG" count="0">
      <extLst>
        <ext xmlns:x15="http://schemas.microsoft.com/office/spreadsheetml/2010/11/main" uri="{B97F6D7D-B522-45F9-BDA1-12C45D357490}">
          <x15:cacheHierarchy aggregatedColumn="14"/>
        </ext>
      </extLst>
    </cacheHierarchy>
    <cacheHierarchy uniqueName="[Measures].[Sum of SEBENAR Q1-25]" caption="Sum of SEBENAR Q1-25" measure="1" displayFolder="" measureGroup="BELJ PROG" count="0">
      <extLst>
        <ext xmlns:x15="http://schemas.microsoft.com/office/spreadsheetml/2010/11/main" uri="{B97F6D7D-B522-45F9-BDA1-12C45D357490}">
          <x15:cacheHierarchy aggregatedColumn="15"/>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J PRG%]" caption="SASARAN BELJ PRG%" measure="1" displayFolder="" measureGroup="BELJ PROG" count="0"/>
    <cacheHierarchy uniqueName="[Measures].[PRESTASI BELJ PRG%]" caption="PRESTASI BELJ PRG%" measure="1" displayFolder="" measureGroup="BELJ PROG" count="0"/>
    <cacheHierarchy uniqueName="[Measures].[PENCAPAIAN BEL PRGM]" caption="PENCAPAIAN BEL PRGM" measure="1" displayFolder="" measureGroup="BELJ PROG"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BELJ PROG]" caption="__XL_Count BELJ PROG" measure="1" displayFolder="" measureGroup="BELJ PROG"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616097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245"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D15" firstHeaderRow="0" firstDataRow="1" firstDataCol="1"/>
  <pivotFields count="9">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dataFields count="3">
    <dataField fld="1" subtotal="count" baseField="0" baseItem="0" numFmtId="166"/>
    <dataField fld="2" subtotal="count" baseField="0" baseItem="0" numFmtId="166"/>
    <dataField fld="3" subtotal="count" baseField="0" baseItem="0" numFmtId="166"/>
  </dataFields>
  <chartFormats count="3">
    <chartFormat chart="8" format="9" series="1">
      <pivotArea type="data" outline="0" fieldPosition="0">
        <references count="1">
          <reference field="4294967294" count="1" selected="0">
            <x v="0"/>
          </reference>
        </references>
      </pivotArea>
    </chartFormat>
    <chartFormat chart="8" format="10" series="1">
      <pivotArea type="data" outline="0" fieldPosition="0">
        <references count="1">
          <reference field="4294967294" count="1" selected="0">
            <x v="1"/>
          </reference>
        </references>
      </pivotArea>
    </chartFormat>
    <chartFormat chart="8" format="11" series="1">
      <pivotArea type="data" outline="0" fieldPosition="0">
        <references count="1">
          <reference field="4294967294" count="1" selected="0">
            <x v="2"/>
          </reference>
        </references>
      </pivotArea>
    </chartFormat>
  </chartFormats>
  <pivotHierarchies count="57">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249"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2">
  <location ref="A3:D8" firstHeaderRow="0" firstDataRow="1" firstDataCol="1"/>
  <pivotFields count="10">
    <pivotField dataField="1" subtotalTop="0" showAll="0" defaultSubtotal="0"/>
    <pivotField dataField="1" subtotalTop="0" showAll="0" defaultSubtotal="0"/>
    <pivotField dataField="1" subtotalTop="0" showAll="0" defaultSubtotal="0"/>
    <pivotField axis="axisRow" allDrilled="1" subtotalTop="0" showAll="0" sortType="descending" dataSourceSort="1"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3"/>
  </rowFields>
  <rowItems count="5">
    <i>
      <x v="3"/>
    </i>
    <i>
      <x/>
    </i>
    <i>
      <x v="2"/>
    </i>
    <i>
      <x v="1"/>
    </i>
    <i t="grand">
      <x/>
    </i>
  </rowItems>
  <colFields count="1">
    <field x="-2"/>
  </colFields>
  <colItems count="3">
    <i>
      <x/>
    </i>
    <i i="1">
      <x v="1"/>
    </i>
    <i i="2">
      <x v="2"/>
    </i>
  </colItems>
  <dataFields count="3">
    <dataField name="Sum of BAJET 2025" fld="0" baseField="0" baseItem="0"/>
    <dataField name="Sum of SASARAN Q1-25" fld="1" baseField="0" baseItem="0"/>
    <dataField name="Sum of SEBENAR Q1-25" fld="2" baseField="0" baseItem="0"/>
  </dataFields>
  <chartFormats count="4">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2"/>
          </reference>
        </references>
      </pivotArea>
    </chartFormat>
    <chartFormat chart="8" format="12">
      <pivotArea type="data" outline="0" fieldPosition="0">
        <references count="2">
          <reference field="4294967294" count="1" selected="0">
            <x v="2"/>
          </reference>
          <reference field="3" count="1" selected="0">
            <x v="2"/>
          </reference>
        </references>
      </pivotArea>
    </chartFormat>
  </chartFormats>
  <pivotHierarchies count="57">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247"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K42" firstHeaderRow="1" firstDataRow="1" firstDataCol="1"/>
  <pivotFields count="6">
    <pivotField axis="axisRow" allDrilled="1" subtotalTop="0" showAll="0" dataSourceSort="1" defaultSubtotal="0" defaultAttributeDrillState="1">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t="grand">
      <x/>
    </i>
  </rowItems>
  <colItems count="1">
    <i/>
  </colItems>
  <dataFields count="1">
    <dataField fld="1" subtotal="count" baseField="0" baseItem="0" numFmtId="166"/>
  </dataFields>
  <formats count="2">
    <format dxfId="43">
      <pivotArea collapsedLevelsAreSubtotals="1" fieldPosition="0">
        <references count="1">
          <reference field="0" count="8">
            <x v="2"/>
            <x v="15"/>
            <x v="21"/>
            <x v="22"/>
            <x v="28"/>
            <x v="30"/>
            <x v="31"/>
            <x v="33"/>
          </reference>
        </references>
      </pivotArea>
    </format>
    <format dxfId="42">
      <pivotArea outline="0" fieldPosition="0">
        <references count="1">
          <reference field="4294967294" count="1">
            <x v="0"/>
          </reference>
        </references>
      </pivotArea>
    </format>
  </formats>
  <conditionalFormats count="2">
    <conditionalFormat priority="2">
      <pivotAreas count="1">
        <pivotArea type="data" collapsedLevelsAreSubtotals="1" fieldPosition="0">
          <references count="2">
            <reference field="4294967294" count="1" selected="0">
              <x v="0"/>
            </reference>
            <reference field="0" count="37">
              <x v="0"/>
              <x v="1"/>
              <x v="2"/>
              <x v="3"/>
              <x v="4"/>
              <x v="5"/>
              <x v="6"/>
              <x v="7"/>
              <x v="8"/>
              <x v="9"/>
              <x v="10"/>
              <x v="12"/>
              <x v="13"/>
              <x v="14"/>
              <x v="15"/>
              <x v="16"/>
              <x v="17"/>
              <x v="18"/>
              <x v="19"/>
              <x v="20"/>
              <x v="21"/>
              <x v="22"/>
              <x v="23"/>
              <x v="24"/>
              <x v="25"/>
              <x v="26"/>
              <x v="27"/>
              <x v="28"/>
              <x v="29"/>
              <x v="30"/>
              <x v="31"/>
              <x v="32"/>
              <x v="33"/>
              <x v="34"/>
              <x v="35"/>
              <x v="36"/>
              <x v="37"/>
            </reference>
          </references>
        </pivotArea>
      </pivotAreas>
    </conditionalFormat>
    <conditionalFormat priority="1">
      <pivotAreas count="1">
        <pivotArea type="data" collapsedLevelsAreSubtotals="1" fieldPosition="0">
          <references count="2">
            <reference field="4294967294" count="1" selected="0">
              <x v="0"/>
            </reference>
            <reference field="0" count="37">
              <x v="0"/>
              <x v="1"/>
              <x v="2"/>
              <x v="3"/>
              <x v="4"/>
              <x v="5"/>
              <x v="6"/>
              <x v="7"/>
              <x v="8"/>
              <x v="9"/>
              <x v="10"/>
              <x v="12"/>
              <x v="13"/>
              <x v="14"/>
              <x v="15"/>
              <x v="16"/>
              <x v="17"/>
              <x v="18"/>
              <x v="19"/>
              <x v="20"/>
              <x v="21"/>
              <x v="22"/>
              <x v="23"/>
              <x v="24"/>
              <x v="25"/>
              <x v="26"/>
              <x v="27"/>
              <x v="28"/>
              <x v="29"/>
              <x v="30"/>
              <x v="31"/>
              <x v="32"/>
              <x v="33"/>
              <x v="34"/>
              <x v="35"/>
              <x v="36"/>
              <x v="37"/>
            </reference>
          </references>
        </pivotArea>
      </pivotAreas>
    </conditionalFormat>
  </conditionalFormats>
  <pivotHierarchies count="57">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246"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I42" firstHeaderRow="0" firstDataRow="1" firstDataCol="1"/>
  <pivotFields count="9">
    <pivotField axis="axisRow" allDrilled="1" subtotalTop="0" showAll="0" sortType="descending" defaultSubtotal="0" defaultAttributeDrillState="1">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s>
      <autoSortScope>
        <pivotArea dataOnly="0" outline="0" fieldPosition="0">
          <references count="1">
            <reference field="4294967294" count="1" selected="0">
              <x v="2"/>
            </reference>
          </references>
        </pivotArea>
      </autoSortScope>
    </pivotField>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9">
    <i>
      <x v="9"/>
    </i>
    <i>
      <x v="7"/>
    </i>
    <i>
      <x v="33"/>
    </i>
    <i>
      <x v="3"/>
    </i>
    <i>
      <x v="17"/>
    </i>
    <i>
      <x v="37"/>
    </i>
    <i>
      <x v="18"/>
    </i>
    <i>
      <x v="20"/>
    </i>
    <i>
      <x v="23"/>
    </i>
    <i>
      <x v="6"/>
    </i>
    <i>
      <x v="1"/>
    </i>
    <i>
      <x v="4"/>
    </i>
    <i>
      <x v="14"/>
    </i>
    <i>
      <x v="22"/>
    </i>
    <i>
      <x v="32"/>
    </i>
    <i>
      <x v="15"/>
    </i>
    <i>
      <x v="30"/>
    </i>
    <i>
      <x v="2"/>
    </i>
    <i>
      <x v="29"/>
    </i>
    <i>
      <x v="25"/>
    </i>
    <i>
      <x v="34"/>
    </i>
    <i>
      <x v="35"/>
    </i>
    <i>
      <x v="28"/>
    </i>
    <i>
      <x v="19"/>
    </i>
    <i>
      <x v="8"/>
    </i>
    <i>
      <x v="31"/>
    </i>
    <i>
      <x v="16"/>
    </i>
    <i>
      <x v="21"/>
    </i>
    <i>
      <x v="13"/>
    </i>
    <i>
      <x v="10"/>
    </i>
    <i>
      <x v="26"/>
    </i>
    <i>
      <x v="12"/>
    </i>
    <i>
      <x v="36"/>
    </i>
    <i>
      <x v="24"/>
    </i>
    <i>
      <x v="27"/>
    </i>
    <i>
      <x v="5"/>
    </i>
    <i>
      <x/>
    </i>
    <i>
      <x v="11"/>
    </i>
    <i t="grand">
      <x/>
    </i>
  </rowItems>
  <colFields count="1">
    <field x="-2"/>
  </colFields>
  <colItems count="3">
    <i>
      <x/>
    </i>
    <i i="1">
      <x v="1"/>
    </i>
    <i i="2">
      <x v="2"/>
    </i>
  </colItems>
  <dataFields count="3">
    <dataField fld="2" subtotal="count" baseField="0" baseItem="7" numFmtId="166"/>
    <dataField fld="3" subtotal="count" baseField="0" baseItem="7" numFmtId="166"/>
    <dataField fld="4" subtotal="count" baseField="0" baseItem="0"/>
  </dataFields>
  <chartFormats count="3">
    <chartFormat chart="13" format="13" series="1">
      <pivotArea type="data" outline="0" fieldPosition="0">
        <references count="1">
          <reference field="4294967294" count="1" selected="0">
            <x v="0"/>
          </reference>
        </references>
      </pivotArea>
    </chartFormat>
    <chartFormat chart="13" format="14" series="1">
      <pivotArea type="data" outline="0" fieldPosition="0">
        <references count="1">
          <reference field="4294967294" count="1" selected="0">
            <x v="1"/>
          </reference>
        </references>
      </pivotArea>
    </chartFormat>
    <chartFormat chart="13" format="15" series="1">
      <pivotArea type="data" outline="0" fieldPosition="0">
        <references count="1">
          <reference field="4294967294" count="1" selected="0">
            <x v="2"/>
          </reference>
        </references>
      </pivotArea>
    </chartFormat>
  </chartFormats>
  <pivotHierarchies count="57">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248"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C57" firstHeaderRow="0" firstDataRow="1" firstDataCol="1"/>
  <pivotFields count="9">
    <pivotField dataField="1" subtotalTop="0" showAll="0" defaultSubtotal="0"/>
    <pivotField allDrilled="1" subtotalTop="0" showAll="0" sortType="ascending" dataSourceSort="1" defaultSubtotal="0" defaultAttributeDrillState="1">
      <items count="2">
        <item x="0"/>
        <item x="1"/>
      </items>
      <autoSortScope>
        <pivotArea dataOnly="0" outline="0" fieldPosition="0">
          <references count="1">
            <reference field="4294967294" count="1" selected="0">
              <x v="0"/>
            </reference>
          </references>
        </pivotArea>
      </autoSortScope>
    </pivotField>
    <pivotField allDrilled="1" subtotalTop="0" showAll="0" sortType="a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ascending" dataSourceSort="1" defaultSubtotal="0" defaultAttributeDrillState="1">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3"/>
  </rowFields>
  <rowItems count="38">
    <i>
      <x v="18"/>
    </i>
    <i>
      <x v="20"/>
    </i>
    <i>
      <x v="21"/>
    </i>
    <i>
      <x v="35"/>
    </i>
    <i>
      <x v="19"/>
    </i>
    <i>
      <x v="34"/>
    </i>
    <i>
      <x v="36"/>
    </i>
    <i>
      <x v="24"/>
    </i>
    <i>
      <x v="11"/>
    </i>
    <i>
      <x v="8"/>
    </i>
    <i>
      <x v="23"/>
    </i>
    <i>
      <x v="31"/>
    </i>
    <i>
      <x v="27"/>
    </i>
    <i>
      <x v="33"/>
    </i>
    <i>
      <x v="4"/>
    </i>
    <i>
      <x v="29"/>
    </i>
    <i>
      <x v="32"/>
    </i>
    <i>
      <x v="6"/>
    </i>
    <i>
      <x v="22"/>
    </i>
    <i>
      <x v="16"/>
    </i>
    <i>
      <x v="12"/>
    </i>
    <i>
      <x v="3"/>
    </i>
    <i>
      <x v="30"/>
    </i>
    <i>
      <x v="1"/>
    </i>
    <i>
      <x v="28"/>
    </i>
    <i>
      <x v="14"/>
    </i>
    <i>
      <x v="9"/>
    </i>
    <i>
      <x v="26"/>
    </i>
    <i>
      <x v="15"/>
    </i>
    <i>
      <x v="10"/>
    </i>
    <i>
      <x v="17"/>
    </i>
    <i>
      <x v="7"/>
    </i>
    <i>
      <x v="13"/>
    </i>
    <i>
      <x/>
    </i>
    <i>
      <x v="25"/>
    </i>
    <i>
      <x v="5"/>
    </i>
    <i>
      <x v="2"/>
    </i>
    <i t="grand">
      <x/>
    </i>
  </rowItems>
  <colFields count="1">
    <field x="-2"/>
  </colFields>
  <colItems count="2">
    <i>
      <x/>
    </i>
    <i i="1">
      <x v="1"/>
    </i>
  </colItems>
  <dataFields count="2">
    <dataField name="Sum of SEBENAR Q1-25" fld="0" baseField="0" baseItem="0"/>
    <dataField name="Sum of SASARAN Q1-25" fld="4" baseField="0" baseItem="0"/>
  </dataFields>
  <chartFormats count="3">
    <chartFormat chart="8" format="8"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1"/>
          </reference>
        </references>
      </pivotArea>
    </chartFormat>
  </chartFormats>
  <pivotHierarchies count="57">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9D67CF1-DE10-4135-A092-667BCC3608DA}" autoFormatId="16" applyNumberFormats="0" applyBorderFormats="0" applyFontFormats="0" applyPatternFormats="0" applyAlignmentFormats="0" applyWidthHeightFormats="0">
  <queryTableRefresh nextId="10">
    <queryTableFields count="9">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261609791">
      <levels count="2">
        <level uniqueName="[PTJ].[PTJ_1].[(All)]" sourceCaption="(All)" count="0"/>
        <level uniqueName="[PTJ].[PTJ_1].[PTJ_1]" sourceCaption="PTJ_1" count="38">
          <ranges>
            <range startItem="0">
              <i n="[PTJ].[PTJ_1].&amp;[BAR]" c="BAR"/>
              <i n="[PTJ].[PTJ_1].&amp;[BKA]" c="BKA"/>
              <i n="[PTJ].[PTJ_1].&amp;[BKK]" c="BKK"/>
              <i n="[PTJ].[PTJ_1].&amp;[BLA]" c="BLA"/>
              <i n="[PTJ].[PTJ_1].&amp;[BPB]" c="BPB"/>
              <i n="[PTJ].[PTJ_1].&amp;[BPGK]" c="BPGK"/>
              <i n="[PTJ].[PTJ_1].&amp;[BPK]" c="BPK"/>
              <i n="[PTJ].[PTJ_1].&amp;[BPKB]" c="BPKB"/>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261609791">
      <levels count="2">
        <level uniqueName="[All2].[DESC].[(All)]" sourceCaption="(All)" count="0"/>
        <level uniqueName="[All2].[DESC].[DESC]" sourceCaption="DESC" count="37">
          <ranges>
            <range startItem="0">
              <i n="[All2].[DESC].&amp;[A. Emolumen]" c="A. Emolumen"/>
              <i n="[All2].[DESC].&amp;[A.Bangunan  ABM]" c="A.Bangunan  ABM"/>
              <i n="[All2].[DESC].&amp;[A.Levi Kontrak]" c="A.Levi Kontrak"/>
              <i n="[All2].[DESC].&amp;[B. Elaun Perjalanan]" c="B. Elaun Perjalanan"/>
              <i n="[All2].[DESC].&amp;[B.Bangunan]" c="B.Bangunan"/>
              <i n="[All2].[DESC].&amp;[B.Yuran Pendaftaran]" c="B.Yuran Pendaftaran"/>
              <i n="[All2].[DESC].&amp;[C. Perhubungan dan Utiliti]" c="C. Perhubungan dan Utiliti"/>
              <i n="[All2].[DESC].&amp;[C.Faedah &amp; Dividen]" c="C.Faedah &amp; Dividen"/>
              <i n="[All2].[DESC].&amp;[C.Kelengkapan Pejabat]" c="C.Kelengkapan Pejabat"/>
              <i n="[All2].[DESC].&amp;[D. Sewaan]" c="D. Sewaan"/>
              <i n="[All2].[DESC].&amp;[D.Penilaian Kemahiran]" c="D.Penilaian Kemahiran"/>
              <i n="[All2].[DESC].&amp;[D.Perabot]" c="D.Perabot"/>
              <i n="[All2].[DESC].&amp;[E. Bekalan]" c="E. Bekalan"/>
              <i n="[All2].[DESC].&amp;[E.Pelbagai Hasil]" c="E.Pelbagai Hasil"/>
              <i n="[All2].[DESC].&amp;[F. Penyelenggaraan]" c="F. Penyelenggaraan"/>
              <i n="[All2].[DESC].&amp;[G. Perkhidmatan Iktisas]" c="G. Perkhidmatan Iktisa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i n="[All2].[DESC].&amp;[Tanah]" c="Tanah"/>
              <i n="[All2].[DESC].&amp;[Tanah ABM]" c="Tanah ABM"/>
              <i n="[All2].[DESC].&amp;[THE MET]" c="THE ME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261609791">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261609791">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261609791">
      <levels count="2">
        <level uniqueName="[KOD].[KOD].[(All)]" sourceCaption="(All)" count="0"/>
        <level uniqueName="[KOD].[KOD].[KOD]" sourceCaption="KOD" count="61">
          <ranges>
            <range startItem="0">
              <i n="[KOD].[KOD].&amp;[A.LV]" c="A.LV"/>
              <i n="[KOD].[KOD].&amp;[AA1]" c="AA1"/>
              <i n="[KOD].[KOD].&amp;[AB1]" c="AB1"/>
              <i n="[KOD].[KOD].&amp;[AC1]" c="AC1"/>
              <i n="[KOD].[KOD].&amp;[B.YP-PB]" c="B.YP-PB"/>
              <i n="[KOD].[KOD].&amp;[B.YP-PK]" c="B.YP-PK"/>
              <i n="[KOD].[KOD].&amp;[BA1]" c="BA1"/>
              <i n="[KOD].[KOD].&amp;[BA2]" c="BA2"/>
              <i n="[KOD].[KOD].&amp;[BB4]" c="BB4"/>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SEWA BGN]" c="E5.LLH-SEWA BGN"/>
              <i n="[KOD].[KOD].&amp;[E5.LLH-SEWA TNH]" c="E5.LLH-SEWA TNH"/>
              <i n="[KOD].[KOD].&amp;[E6.LLH-GERAN]" c="E6.LLH-GERAN"/>
              <i n="[KOD].[KOD].&amp;[E6.LLH-SUMBGN]" c="E6.LLH-SUMBGN"/>
              <i n="[KOD].[KOD].&amp;[E7.LLH-JDOK]" c="E7.LLH-JDOK"/>
              <i n="[KOD].[KOD].&amp;[E8.LLH-JUAL ASET]" c="E8.LLH-JUAL ASET"/>
              <i n="[KOD].[KOD].&amp;[E9.LLH]" c="E9.LLH"/>
              <i n="[KOD].[KOD].&amp;[E9.LLH-HK LEVI]" c="E9.LLH-HK LEVI"/>
              <i n="[KOD].[KOD].&amp;[E9.LLH-MDRBH]" c="E9.LLH-MDRBH"/>
              <i n="[KOD].[KOD].&amp;[EA2]" c="EA2"/>
              <i n="[KOD].[KOD].&amp;[EC2]" c="EC2"/>
              <i n="[KOD].[KOD].&amp;[FA2]" c="FA2"/>
              <i n="[KOD].[KOD].&amp;[FB2]" c="FB2"/>
              <i n="[KOD].[KOD].&amp;[FC2]" c="FC2"/>
              <i n="[KOD].[KOD].&amp;[FD2]" c="FD2"/>
              <i n="[KOD].[KOD].&amp;[GB2]" c="GB2"/>
              <i n="[KOD].[KOD].&amp;[GD2]" c="GD2"/>
              <i n="[KOD].[KOD].&amp;[GD4]" c="GD4"/>
              <i n="[KOD].[KOD].&amp;[GE2]" c="GE2"/>
              <i n="[KOD].[KOD].&amp;[HA2]" c="HA2"/>
              <i n="[KOD].[KOD].&amp;[HB2]" c="HB2"/>
              <i n="[KOD].[KOD].&amp;[HB4]" c="HB4"/>
              <i n="[KOD].[KOD].&amp;[HC2]" c="HC2"/>
              <i n="[KOD].[KOD].&amp;[HC3]" c="HC3"/>
              <i n="[KOD].[KOD].&amp;[HD1]" c="HD1"/>
              <i n="[KOD].[KOD].&amp;[IA2]" c="IA2"/>
              <i n="[KOD].[KOD].&amp;[IB1]" c="IB1"/>
              <i n="[KOD].[KOD].&amp;[IC1]" c="IC1"/>
              <i n="[KOD].[KOD].&amp;[IE1]" c="IE1"/>
              <i n="[KOD].[KOD].&amp;[JA1]" c="JA1"/>
              <i n="[KOD].[KOD].&amp;[JC1]" c="JC1"/>
              <i n="[KOD].[KOD].&amp;[KB2]" c="KB2"/>
              <i n="[KOD].[KOD].&amp;[KD1]" c="KD1"/>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A8B4E29-82AF-410F-804D-2D709FC5D523}" name="_All2" displayName="_All2" ref="A1:I597" tableType="queryTable" totalsRowShown="0">
  <autoFilter ref="A1:I597" xr:uid="{EA8B4E29-82AF-410F-804D-2D709FC5D523}">
    <filterColumn colId="8">
      <filters>
        <filter val="Hasil"/>
      </filters>
    </filterColumn>
  </autoFilter>
  <tableColumns count="9">
    <tableColumn id="1" xr3:uid="{7FFD7B2D-9AAC-4758-9218-8CFC31EA0CB2}" uniqueName="1" name="KOD" queryTableFieldId="1" dataDxfId="55"/>
    <tableColumn id="2" xr3:uid="{114B7B18-6E8D-4C7C-9EB9-34218C6095B4}" uniqueName="2" name="DESC" queryTableFieldId="2" dataDxfId="54"/>
    <tableColumn id="3" xr3:uid="{CDFC3C9C-570C-403C-987E-F6BA5DB1375F}" uniqueName="3" name="KOD1" queryTableFieldId="3" dataDxfId="53"/>
    <tableColumn id="4" xr3:uid="{EBAFCFBC-84BE-4635-A464-8A824ECCA9FD}" uniqueName="4" name="PTJ" queryTableFieldId="4" dataDxfId="52"/>
    <tableColumn id="5" xr3:uid="{74D98817-4F8D-4625-81EA-B2D6F72A544B}" uniqueName="5" name="PTJ1" queryTableFieldId="5" dataDxfId="51"/>
    <tableColumn id="6" xr3:uid="{F81EB27D-37CC-4246-ACBD-37F79AC33D49}" uniqueName="6" name="BAJET 2025" queryTableFieldId="6"/>
    <tableColumn id="7" xr3:uid="{2B624312-3948-4398-8C8B-F023DC63B808}" uniqueName="7" name="SASARAN Q1-25" queryTableFieldId="7"/>
    <tableColumn id="8" xr3:uid="{3D0A98A8-79F6-4296-9D96-218644AC6BF4}" uniqueName="8" name="SEBENAR Q1-25" queryTableFieldId="8"/>
    <tableColumn id="9" xr3:uid="{0AEC2161-61D2-4D33-8FDB-77BD853B4C2A}" uniqueName="9" name="Kategori" queryTableFieldId="9" dataDxfId="5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49" dataDxfId="48">
  <tableColumns count="4">
    <tableColumn id="1" xr3:uid="{EFDF0132-B064-4D6E-AD1D-64054AA24D60}" name="KOD" dataDxfId="47"/>
    <tableColumn id="2" xr3:uid="{457306A2-0BBB-4AEB-8568-48767F88A8BB}" name="Details" dataDxfId="46"/>
    <tableColumn id="3" xr3:uid="{F4D72EA0-D73F-4749-9ACE-422114DA21C4}" name="KOD2" dataDxfId="45"/>
    <tableColumn id="4" xr3:uid="{D2BB3ABA-2DBD-4941-A30E-727F8534D804}" name="Details3" dataDxfId="44"/>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41" dataDxfId="39" headerRowBorderDxfId="40" tableBorderDxfId="38" dataCellStyle="Comma">
  <autoFilter ref="A1:E3" xr:uid="{E91BC038-EC4F-4A54-B33B-C8CDAC65BDA1}"/>
  <tableColumns count="5">
    <tableColumn id="1" xr3:uid="{189E201E-E404-4741-A1B9-DF3C8A65DA51}" name="PERKARA" dataDxfId="37"/>
    <tableColumn id="2" xr3:uid="{58FC0E1E-8D37-4010-8146-6364B098D47C}" name="BAJET 2025" dataDxfId="36" dataCellStyle="Comma"/>
    <tableColumn id="3" xr3:uid="{3D2BD9EB-9EC5-4F7D-B6B2-EC65B9E7C1EB}" name="SASARAN _x000a_Q1-25" dataDxfId="35" dataCellStyle="Comma"/>
    <tableColumn id="4" xr3:uid="{DBE263B9-5DFB-41EB-9CAE-740BA2D84759}" name="SEBENAR _x000a_Q1-25" dataDxfId="34" dataCellStyle="Comma"/>
    <tableColumn id="5" xr3:uid="{3D8BBC54-BFEF-4CBF-95B5-57A9BACA1EEE}" name="SEBENAR _x000a_Q1-24" dataDxfId="33"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11:E14" totalsRowShown="0" headerRowDxfId="32" dataDxfId="30" headerRowBorderDxfId="31" tableBorderDxfId="29" dataCellStyle="Comma">
  <autoFilter ref="A11:E14" xr:uid="{8EC2049D-80A4-4297-A11D-150C792E1956}"/>
  <tableColumns count="5">
    <tableColumn id="1" xr3:uid="{4E1136E0-5860-4A6A-8569-C6A4FD142654}" name="PERKARA" dataDxfId="28"/>
    <tableColumn id="2" xr3:uid="{8CC18B98-0444-4D93-A1CD-BB924FD54B1D}" name="BAJET 2025" dataDxfId="27" dataCellStyle="Comma"/>
    <tableColumn id="3" xr3:uid="{DA2E1AB2-6459-45BE-B2F0-B95E34649D94}" name="SASARAN _x000a_Q1-25" dataDxfId="26" dataCellStyle="Comma"/>
    <tableColumn id="4" xr3:uid="{130EBBE3-BCF1-4634-9B1F-6BC2056487D5}" name="SEBENAR _x000a_Q1-25" dataDxfId="25" dataCellStyle="Comma"/>
    <tableColumn id="5" xr3:uid="{87116892-2B7F-4950-9E39-4861EC855B65}" name="SEBENAR _x000a_Q1-24" dataDxfId="24" data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6" totalsRowShown="0" headerRowDxfId="23" dataDxfId="21" headerRowBorderDxfId="22" tableBorderDxfId="20" dataCellStyle="Comma">
  <autoFilter ref="A23:E26" xr:uid="{3C0FB2C7-8830-4DE2-A020-20CE87DD0EAA}"/>
  <tableColumns count="5">
    <tableColumn id="1" xr3:uid="{6D50DE00-BE19-4F25-B0C3-249B5BEDCC45}" name="PERKARA" dataDxfId="19"/>
    <tableColumn id="2" xr3:uid="{B7E7C859-F02B-473C-ACC4-C06797EEBCF2}" name="BAJET 2025" dataDxfId="18" dataCellStyle="Comma"/>
    <tableColumn id="3" xr3:uid="{F8FB2D26-3C98-4C11-BDC6-3BC59244F996}" name="SASARAN _x000a_Q1-25" dataDxfId="17" dataCellStyle="Comma"/>
    <tableColumn id="4" xr3:uid="{9CC702A4-BF62-4EAD-8416-42941F9A1E46}" name="SEBENAR _x000a_Q1-25" dataDxfId="16" dataCellStyle="Comma"/>
    <tableColumn id="5" xr3:uid="{ED3938E9-F77E-4E0C-9F7E-388DEFE109A2}" name="SEBENAR _x000a_Q1-24" dataDxfId="1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4" dataDxfId="13"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2" dataCellStyle="Comma"/>
    <tableColumn id="3" xr3:uid="{F905E106-98F8-4617-B49B-95E10A130881}" name="BUKAN SEMASA (RM)" dataDxfId="11" dataCellStyle="Comma"/>
    <tableColumn id="4" xr3:uid="{D1A35F01-DACF-4D24-AE6E-2E682DACF15A}" name="SEMASA (RM)" dataDxfId="10" dataCellStyle="Comma"/>
    <tableColumn id="5" xr3:uid="{6333FFF8-DBAF-4356-A648-48821E6870D8}" name="JUMLAH" dataDxfId="9" dataCellStyle="Comma">
      <calculatedColumnFormula>SUM(Table2[[#This Row],[ASET BERSIH (RM)]:[SEMASA (RM)]])</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8" dataDxfId="6" headerRowBorderDxfId="7" tableBorderDxfId="5">
  <autoFilter ref="A23:E25" xr:uid="{3EA515FB-9039-4095-A19E-806D74E6D02D}"/>
  <tableColumns count="5">
    <tableColumn id="1" xr3:uid="{0DC8E394-CD36-4C41-ABD5-26FB06E14528}" name=" PERKARA" dataDxfId="4"/>
    <tableColumn id="2" xr3:uid="{52CB7ED7-8E96-4905-A968-CB331EE664CB}" name="BAKI TUNAI AWAL (RM)" dataDxfId="3"/>
    <tableColumn id="3" xr3:uid="{074FD214-761C-47AE-9FFB-1951C18685AC}" name="AKT. OPERASI (RM )" dataDxfId="2" dataCellStyle="Comma"/>
    <tableColumn id="4" xr3:uid="{68095F32-2641-4A78-83A1-119E19CE9253}" name="AKT. PELABURAN (RM)" dataDxfId="1" dataCellStyle="Comma"/>
    <tableColumn id="5" xr3:uid="{6D339AF7-1B2D-4E64-881B-C301811A10A3}" name="BAKI TUNAI AKHIR (RM)"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dimension ref="M8:O90"/>
  <sheetViews>
    <sheetView zoomScale="70" zoomScaleNormal="70" workbookViewId="0">
      <selection activeCell="W3" sqref="W3"/>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1" customFormat="1" x14ac:dyDescent="0.35"/>
    <row r="50" s="1" customFormat="1" x14ac:dyDescent="0.35"/>
    <row r="51" s="1" customFormat="1" x14ac:dyDescent="0.35"/>
    <row r="52" s="1" customFormat="1" x14ac:dyDescent="0.35"/>
    <row r="53" s="1" customFormat="1" x14ac:dyDescent="0.35"/>
    <row r="54" s="1" customFormat="1" x14ac:dyDescent="0.35"/>
    <row r="55" s="1" customFormat="1" x14ac:dyDescent="0.35"/>
    <row r="56" s="1" customFormat="1" x14ac:dyDescent="0.35"/>
    <row r="57" s="1" customFormat="1" x14ac:dyDescent="0.35"/>
    <row r="58" s="1" customFormat="1" x14ac:dyDescent="0.35"/>
    <row r="59" s="1" customFormat="1" x14ac:dyDescent="0.35"/>
    <row r="60" s="1" customFormat="1" x14ac:dyDescent="0.35"/>
    <row r="61" s="1" customFormat="1" x14ac:dyDescent="0.35"/>
    <row r="62" s="1" customFormat="1" x14ac:dyDescent="0.35"/>
    <row r="63" s="1" customFormat="1" x14ac:dyDescent="0.35"/>
    <row r="64"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82EC4-036C-4A21-86A5-8D65ADA7A1FC}">
  <dimension ref="A1:I597"/>
  <sheetViews>
    <sheetView tabSelected="1" workbookViewId="0">
      <selection activeCell="K193" sqref="K193"/>
    </sheetView>
  </sheetViews>
  <sheetFormatPr defaultRowHeight="14.5" x14ac:dyDescent="0.35"/>
  <cols>
    <col min="1" max="1" width="19.1796875" bestFit="1" customWidth="1"/>
    <col min="2" max="2" width="22"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5.1796875" bestFit="1" customWidth="1"/>
  </cols>
  <sheetData>
    <row r="1" spans="1:9" x14ac:dyDescent="0.35">
      <c r="A1" t="s">
        <v>86</v>
      </c>
      <c r="B1" t="s">
        <v>192</v>
      </c>
      <c r="C1" t="s">
        <v>193</v>
      </c>
      <c r="D1" t="s">
        <v>194</v>
      </c>
      <c r="E1" t="s">
        <v>195</v>
      </c>
      <c r="F1" t="s">
        <v>166</v>
      </c>
      <c r="G1" t="s">
        <v>196</v>
      </c>
      <c r="H1" t="s">
        <v>180</v>
      </c>
      <c r="I1" t="s">
        <v>197</v>
      </c>
    </row>
    <row r="2" spans="1:9" hidden="1" x14ac:dyDescent="0.35">
      <c r="B2" t="s">
        <v>85</v>
      </c>
      <c r="C2" t="s">
        <v>88</v>
      </c>
      <c r="D2" t="s">
        <v>198</v>
      </c>
      <c r="E2" t="s">
        <v>10</v>
      </c>
      <c r="F2">
        <v>334000</v>
      </c>
      <c r="G2">
        <v>0</v>
      </c>
      <c r="H2">
        <v>0</v>
      </c>
      <c r="I2" t="s">
        <v>37</v>
      </c>
    </row>
    <row r="3" spans="1:9" hidden="1" x14ac:dyDescent="0.35">
      <c r="B3" t="s">
        <v>84</v>
      </c>
      <c r="C3" t="s">
        <v>88</v>
      </c>
      <c r="D3" t="s">
        <v>199</v>
      </c>
      <c r="E3" t="s">
        <v>19</v>
      </c>
      <c r="F3">
        <v>15900</v>
      </c>
      <c r="G3">
        <v>0</v>
      </c>
      <c r="H3">
        <v>0</v>
      </c>
      <c r="I3" t="s">
        <v>37</v>
      </c>
    </row>
    <row r="4" spans="1:9" hidden="1" x14ac:dyDescent="0.35">
      <c r="B4" t="s">
        <v>84</v>
      </c>
      <c r="C4" t="s">
        <v>88</v>
      </c>
      <c r="D4" t="s">
        <v>199</v>
      </c>
      <c r="E4" t="s">
        <v>25</v>
      </c>
      <c r="F4">
        <v>3900</v>
      </c>
      <c r="G4">
        <v>0</v>
      </c>
      <c r="H4">
        <v>0</v>
      </c>
      <c r="I4" t="s">
        <v>37</v>
      </c>
    </row>
    <row r="5" spans="1:9" hidden="1" x14ac:dyDescent="0.35">
      <c r="B5" t="s">
        <v>84</v>
      </c>
      <c r="C5" t="s">
        <v>88</v>
      </c>
      <c r="D5" t="s">
        <v>199</v>
      </c>
      <c r="E5" t="s">
        <v>20</v>
      </c>
      <c r="F5">
        <v>3900</v>
      </c>
      <c r="G5">
        <v>0</v>
      </c>
      <c r="H5">
        <v>0</v>
      </c>
      <c r="I5" t="s">
        <v>37</v>
      </c>
    </row>
    <row r="6" spans="1:9" hidden="1" x14ac:dyDescent="0.35">
      <c r="B6" t="s">
        <v>84</v>
      </c>
      <c r="C6" t="s">
        <v>88</v>
      </c>
      <c r="D6" t="s">
        <v>199</v>
      </c>
      <c r="E6" t="s">
        <v>31</v>
      </c>
      <c r="F6">
        <v>3900</v>
      </c>
      <c r="G6">
        <v>0</v>
      </c>
      <c r="H6">
        <v>0</v>
      </c>
      <c r="I6" t="s">
        <v>37</v>
      </c>
    </row>
    <row r="7" spans="1:9" hidden="1" x14ac:dyDescent="0.35">
      <c r="B7" t="s">
        <v>84</v>
      </c>
      <c r="C7" t="s">
        <v>88</v>
      </c>
      <c r="D7" t="s">
        <v>199</v>
      </c>
      <c r="E7" t="s">
        <v>43</v>
      </c>
      <c r="F7">
        <v>14000</v>
      </c>
      <c r="G7">
        <v>0</v>
      </c>
      <c r="H7">
        <v>0</v>
      </c>
      <c r="I7" t="s">
        <v>37</v>
      </c>
    </row>
    <row r="8" spans="1:9" hidden="1" x14ac:dyDescent="0.35">
      <c r="B8" t="s">
        <v>84</v>
      </c>
      <c r="C8" t="s">
        <v>88</v>
      </c>
      <c r="D8" t="s">
        <v>199</v>
      </c>
      <c r="E8" t="s">
        <v>17</v>
      </c>
      <c r="F8">
        <v>2000</v>
      </c>
      <c r="G8">
        <v>0</v>
      </c>
      <c r="H8">
        <v>0</v>
      </c>
      <c r="I8" t="s">
        <v>37</v>
      </c>
    </row>
    <row r="9" spans="1:9" hidden="1" x14ac:dyDescent="0.35">
      <c r="B9" t="s">
        <v>84</v>
      </c>
      <c r="C9" t="s">
        <v>88</v>
      </c>
      <c r="D9" t="s">
        <v>199</v>
      </c>
      <c r="E9" t="s">
        <v>29</v>
      </c>
      <c r="F9">
        <v>2000</v>
      </c>
      <c r="G9">
        <v>0</v>
      </c>
      <c r="H9">
        <v>0</v>
      </c>
      <c r="I9" t="s">
        <v>37</v>
      </c>
    </row>
    <row r="10" spans="1:9" hidden="1" x14ac:dyDescent="0.35">
      <c r="B10" t="s">
        <v>84</v>
      </c>
      <c r="C10" t="s">
        <v>88</v>
      </c>
      <c r="D10" t="s">
        <v>199</v>
      </c>
      <c r="E10" t="s">
        <v>33</v>
      </c>
      <c r="F10">
        <v>2000</v>
      </c>
      <c r="G10">
        <v>0</v>
      </c>
      <c r="H10">
        <v>0</v>
      </c>
      <c r="I10" t="s">
        <v>37</v>
      </c>
    </row>
    <row r="11" spans="1:9" hidden="1" x14ac:dyDescent="0.35">
      <c r="B11" t="s">
        <v>84</v>
      </c>
      <c r="C11" t="s">
        <v>88</v>
      </c>
      <c r="D11" t="s">
        <v>199</v>
      </c>
      <c r="E11" t="s">
        <v>28</v>
      </c>
      <c r="F11">
        <v>2000</v>
      </c>
      <c r="G11">
        <v>0</v>
      </c>
      <c r="H11">
        <v>0</v>
      </c>
      <c r="I11" t="s">
        <v>37</v>
      </c>
    </row>
    <row r="12" spans="1:9" hidden="1" x14ac:dyDescent="0.35">
      <c r="B12" t="s">
        <v>76</v>
      </c>
      <c r="C12" t="s">
        <v>90</v>
      </c>
      <c r="D12" t="s">
        <v>199</v>
      </c>
      <c r="E12" t="s">
        <v>24</v>
      </c>
      <c r="F12">
        <v>10000</v>
      </c>
      <c r="G12">
        <v>0</v>
      </c>
      <c r="H12">
        <v>0</v>
      </c>
      <c r="I12" t="s">
        <v>37</v>
      </c>
    </row>
    <row r="13" spans="1:9" hidden="1" x14ac:dyDescent="0.35">
      <c r="B13" t="s">
        <v>76</v>
      </c>
      <c r="C13" t="s">
        <v>90</v>
      </c>
      <c r="D13" t="s">
        <v>199</v>
      </c>
      <c r="E13" t="s">
        <v>19</v>
      </c>
      <c r="F13">
        <v>10000</v>
      </c>
      <c r="G13">
        <v>0</v>
      </c>
      <c r="H13">
        <v>0</v>
      </c>
      <c r="I13" t="s">
        <v>37</v>
      </c>
    </row>
    <row r="14" spans="1:9" hidden="1" x14ac:dyDescent="0.35">
      <c r="B14" t="s">
        <v>76</v>
      </c>
      <c r="C14" t="s">
        <v>90</v>
      </c>
      <c r="D14" t="s">
        <v>199</v>
      </c>
      <c r="E14" t="s">
        <v>26</v>
      </c>
      <c r="F14">
        <v>10000</v>
      </c>
      <c r="G14">
        <v>0</v>
      </c>
      <c r="H14">
        <v>0</v>
      </c>
      <c r="I14" t="s">
        <v>37</v>
      </c>
    </row>
    <row r="15" spans="1:9" hidden="1" x14ac:dyDescent="0.35">
      <c r="B15" t="s">
        <v>76</v>
      </c>
      <c r="C15" t="s">
        <v>90</v>
      </c>
      <c r="D15" t="s">
        <v>199</v>
      </c>
      <c r="E15" t="s">
        <v>30</v>
      </c>
      <c r="F15">
        <v>15000</v>
      </c>
      <c r="G15">
        <v>0</v>
      </c>
      <c r="H15">
        <v>0</v>
      </c>
      <c r="I15" t="s">
        <v>37</v>
      </c>
    </row>
    <row r="16" spans="1:9" hidden="1" x14ac:dyDescent="0.35">
      <c r="B16" t="s">
        <v>76</v>
      </c>
      <c r="C16" t="s">
        <v>90</v>
      </c>
      <c r="D16" t="s">
        <v>199</v>
      </c>
      <c r="E16" t="s">
        <v>35</v>
      </c>
      <c r="F16">
        <v>15000</v>
      </c>
      <c r="G16">
        <v>0</v>
      </c>
      <c r="H16">
        <v>0</v>
      </c>
      <c r="I16" t="s">
        <v>37</v>
      </c>
    </row>
    <row r="17" spans="2:9" hidden="1" x14ac:dyDescent="0.35">
      <c r="B17" t="s">
        <v>76</v>
      </c>
      <c r="C17" t="s">
        <v>90</v>
      </c>
      <c r="D17" t="s">
        <v>199</v>
      </c>
      <c r="E17" t="s">
        <v>22</v>
      </c>
      <c r="F17">
        <v>10000</v>
      </c>
      <c r="G17">
        <v>0</v>
      </c>
      <c r="H17">
        <v>0</v>
      </c>
      <c r="I17" t="s">
        <v>37</v>
      </c>
    </row>
    <row r="18" spans="2:9" hidden="1" x14ac:dyDescent="0.35">
      <c r="B18" t="s">
        <v>76</v>
      </c>
      <c r="C18" t="s">
        <v>90</v>
      </c>
      <c r="D18" t="s">
        <v>199</v>
      </c>
      <c r="E18" t="s">
        <v>21</v>
      </c>
      <c r="F18">
        <v>10000</v>
      </c>
      <c r="G18">
        <v>0</v>
      </c>
      <c r="H18">
        <v>0</v>
      </c>
      <c r="I18" t="s">
        <v>37</v>
      </c>
    </row>
    <row r="19" spans="2:9" hidden="1" x14ac:dyDescent="0.35">
      <c r="B19" t="s">
        <v>76</v>
      </c>
      <c r="C19" t="s">
        <v>90</v>
      </c>
      <c r="D19" t="s">
        <v>199</v>
      </c>
      <c r="E19" t="s">
        <v>18</v>
      </c>
      <c r="F19">
        <v>15000</v>
      </c>
      <c r="G19">
        <v>0</v>
      </c>
      <c r="H19">
        <v>0</v>
      </c>
      <c r="I19" t="s">
        <v>37</v>
      </c>
    </row>
    <row r="20" spans="2:9" hidden="1" x14ac:dyDescent="0.35">
      <c r="B20" t="s">
        <v>76</v>
      </c>
      <c r="C20" t="s">
        <v>90</v>
      </c>
      <c r="D20" t="s">
        <v>199</v>
      </c>
      <c r="E20" t="s">
        <v>32</v>
      </c>
      <c r="F20">
        <v>22000</v>
      </c>
      <c r="G20">
        <v>0</v>
      </c>
      <c r="H20">
        <v>0</v>
      </c>
      <c r="I20" t="s">
        <v>37</v>
      </c>
    </row>
    <row r="21" spans="2:9" hidden="1" x14ac:dyDescent="0.35">
      <c r="B21" t="s">
        <v>76</v>
      </c>
      <c r="C21" t="s">
        <v>90</v>
      </c>
      <c r="D21" t="s">
        <v>199</v>
      </c>
      <c r="E21" t="s">
        <v>20</v>
      </c>
      <c r="F21">
        <v>10000</v>
      </c>
      <c r="G21">
        <v>0</v>
      </c>
      <c r="H21">
        <v>0</v>
      </c>
      <c r="I21" t="s">
        <v>37</v>
      </c>
    </row>
    <row r="22" spans="2:9" hidden="1" x14ac:dyDescent="0.35">
      <c r="B22" t="s">
        <v>76</v>
      </c>
      <c r="C22" t="s">
        <v>90</v>
      </c>
      <c r="D22" t="s">
        <v>199</v>
      </c>
      <c r="E22" t="s">
        <v>31</v>
      </c>
      <c r="F22">
        <v>1800</v>
      </c>
      <c r="G22">
        <v>0</v>
      </c>
      <c r="H22">
        <v>0</v>
      </c>
      <c r="I22" t="s">
        <v>37</v>
      </c>
    </row>
    <row r="23" spans="2:9" hidden="1" x14ac:dyDescent="0.35">
      <c r="B23" t="s">
        <v>76</v>
      </c>
      <c r="C23" t="s">
        <v>90</v>
      </c>
      <c r="D23" t="s">
        <v>199</v>
      </c>
      <c r="E23" t="s">
        <v>43</v>
      </c>
      <c r="F23">
        <v>5000</v>
      </c>
      <c r="G23">
        <v>0</v>
      </c>
      <c r="H23">
        <v>0</v>
      </c>
      <c r="I23" t="s">
        <v>37</v>
      </c>
    </row>
    <row r="24" spans="2:9" hidden="1" x14ac:dyDescent="0.35">
      <c r="B24" t="s">
        <v>76</v>
      </c>
      <c r="C24" t="s">
        <v>90</v>
      </c>
      <c r="D24" t="s">
        <v>199</v>
      </c>
      <c r="E24" t="s">
        <v>29</v>
      </c>
      <c r="F24">
        <v>8200</v>
      </c>
      <c r="G24">
        <v>0</v>
      </c>
      <c r="H24">
        <v>0</v>
      </c>
      <c r="I24" t="s">
        <v>37</v>
      </c>
    </row>
    <row r="25" spans="2:9" hidden="1" x14ac:dyDescent="0.35">
      <c r="B25" t="s">
        <v>76</v>
      </c>
      <c r="C25" t="s">
        <v>90</v>
      </c>
      <c r="D25" t="s">
        <v>199</v>
      </c>
      <c r="E25" t="s">
        <v>27</v>
      </c>
      <c r="F25">
        <v>15000</v>
      </c>
      <c r="G25">
        <v>0</v>
      </c>
      <c r="H25">
        <v>0</v>
      </c>
      <c r="I25" t="s">
        <v>37</v>
      </c>
    </row>
    <row r="26" spans="2:9" hidden="1" x14ac:dyDescent="0.35">
      <c r="B26" t="s">
        <v>82</v>
      </c>
      <c r="C26" t="s">
        <v>92</v>
      </c>
      <c r="D26" t="s">
        <v>198</v>
      </c>
      <c r="E26" t="s">
        <v>7</v>
      </c>
      <c r="F26">
        <v>50000</v>
      </c>
      <c r="G26">
        <v>0</v>
      </c>
      <c r="H26">
        <v>0</v>
      </c>
      <c r="I26" t="s">
        <v>37</v>
      </c>
    </row>
    <row r="27" spans="2:9" hidden="1" x14ac:dyDescent="0.35">
      <c r="B27" t="s">
        <v>85</v>
      </c>
      <c r="C27" t="s">
        <v>92</v>
      </c>
      <c r="D27" t="s">
        <v>198</v>
      </c>
      <c r="E27" t="s">
        <v>10</v>
      </c>
      <c r="F27">
        <v>31500</v>
      </c>
      <c r="G27">
        <v>0</v>
      </c>
      <c r="H27">
        <v>0</v>
      </c>
      <c r="I27" t="s">
        <v>37</v>
      </c>
    </row>
    <row r="28" spans="2:9" hidden="1" x14ac:dyDescent="0.35">
      <c r="B28" t="s">
        <v>82</v>
      </c>
      <c r="C28" t="s">
        <v>92</v>
      </c>
      <c r="D28" t="s">
        <v>199</v>
      </c>
      <c r="E28" t="s">
        <v>24</v>
      </c>
      <c r="F28">
        <v>4000</v>
      </c>
      <c r="G28">
        <v>0</v>
      </c>
      <c r="H28">
        <v>0</v>
      </c>
      <c r="I28" t="s">
        <v>37</v>
      </c>
    </row>
    <row r="29" spans="2:9" hidden="1" x14ac:dyDescent="0.35">
      <c r="B29" t="s">
        <v>82</v>
      </c>
      <c r="C29" t="s">
        <v>92</v>
      </c>
      <c r="D29" t="s">
        <v>199</v>
      </c>
      <c r="E29" t="s">
        <v>25</v>
      </c>
      <c r="F29">
        <v>4000</v>
      </c>
      <c r="G29">
        <v>0</v>
      </c>
      <c r="H29">
        <v>0</v>
      </c>
      <c r="I29" t="s">
        <v>37</v>
      </c>
    </row>
    <row r="30" spans="2:9" hidden="1" x14ac:dyDescent="0.35">
      <c r="B30" t="s">
        <v>82</v>
      </c>
      <c r="C30" t="s">
        <v>92</v>
      </c>
      <c r="D30" t="s">
        <v>199</v>
      </c>
      <c r="E30" t="s">
        <v>35</v>
      </c>
      <c r="F30">
        <v>4000</v>
      </c>
      <c r="G30">
        <v>0</v>
      </c>
      <c r="H30">
        <v>0</v>
      </c>
      <c r="I30" t="s">
        <v>37</v>
      </c>
    </row>
    <row r="31" spans="2:9" hidden="1" x14ac:dyDescent="0.35">
      <c r="B31" t="s">
        <v>82</v>
      </c>
      <c r="C31" t="s">
        <v>92</v>
      </c>
      <c r="D31" t="s">
        <v>199</v>
      </c>
      <c r="E31" t="s">
        <v>32</v>
      </c>
      <c r="F31">
        <v>4000</v>
      </c>
      <c r="G31">
        <v>0</v>
      </c>
      <c r="H31">
        <v>0</v>
      </c>
      <c r="I31" t="s">
        <v>37</v>
      </c>
    </row>
    <row r="32" spans="2:9" hidden="1" x14ac:dyDescent="0.35">
      <c r="B32" t="s">
        <v>83</v>
      </c>
      <c r="C32" t="s">
        <v>94</v>
      </c>
      <c r="D32" t="s">
        <v>198</v>
      </c>
      <c r="E32" t="s">
        <v>11</v>
      </c>
      <c r="F32">
        <v>70000</v>
      </c>
      <c r="G32">
        <v>0</v>
      </c>
      <c r="H32">
        <v>0</v>
      </c>
      <c r="I32" t="s">
        <v>37</v>
      </c>
    </row>
    <row r="33" spans="2:9" hidden="1" x14ac:dyDescent="0.35">
      <c r="B33" t="s">
        <v>83</v>
      </c>
      <c r="C33" t="s">
        <v>96</v>
      </c>
      <c r="D33" t="s">
        <v>199</v>
      </c>
      <c r="E33" t="s">
        <v>22</v>
      </c>
      <c r="F33">
        <v>8000</v>
      </c>
      <c r="G33">
        <v>0</v>
      </c>
      <c r="H33">
        <v>0</v>
      </c>
      <c r="I33" t="s">
        <v>37</v>
      </c>
    </row>
    <row r="34" spans="2:9" hidden="1" x14ac:dyDescent="0.35">
      <c r="B34" t="s">
        <v>83</v>
      </c>
      <c r="C34" t="s">
        <v>96</v>
      </c>
      <c r="D34" t="s">
        <v>199</v>
      </c>
      <c r="E34" t="s">
        <v>23</v>
      </c>
      <c r="F34">
        <v>4500</v>
      </c>
      <c r="G34">
        <v>0</v>
      </c>
      <c r="H34">
        <v>0</v>
      </c>
      <c r="I34" t="s">
        <v>37</v>
      </c>
    </row>
    <row r="35" spans="2:9" hidden="1" x14ac:dyDescent="0.35">
      <c r="B35" t="s">
        <v>83</v>
      </c>
      <c r="C35" t="s">
        <v>94</v>
      </c>
      <c r="D35" t="s">
        <v>199</v>
      </c>
      <c r="E35" t="s">
        <v>31</v>
      </c>
      <c r="F35">
        <v>130000</v>
      </c>
      <c r="G35">
        <v>0</v>
      </c>
      <c r="H35">
        <v>0</v>
      </c>
      <c r="I35" t="s">
        <v>37</v>
      </c>
    </row>
    <row r="36" spans="2:9" hidden="1" x14ac:dyDescent="0.35">
      <c r="B36" t="s">
        <v>83</v>
      </c>
      <c r="C36" t="s">
        <v>97</v>
      </c>
      <c r="D36" t="s">
        <v>198</v>
      </c>
      <c r="E36" t="s">
        <v>11</v>
      </c>
      <c r="F36">
        <v>8800000</v>
      </c>
      <c r="G36">
        <v>0</v>
      </c>
      <c r="H36">
        <v>0</v>
      </c>
      <c r="I36" t="s">
        <v>37</v>
      </c>
    </row>
    <row r="37" spans="2:9" hidden="1" x14ac:dyDescent="0.35">
      <c r="B37" t="s">
        <v>79</v>
      </c>
      <c r="C37" t="s">
        <v>99</v>
      </c>
      <c r="D37" t="s">
        <v>198</v>
      </c>
      <c r="E37" t="s">
        <v>9</v>
      </c>
      <c r="F37">
        <v>70000</v>
      </c>
      <c r="G37">
        <v>0</v>
      </c>
      <c r="H37">
        <v>0</v>
      </c>
      <c r="I37" t="s">
        <v>37</v>
      </c>
    </row>
    <row r="38" spans="2:9" hidden="1" x14ac:dyDescent="0.35">
      <c r="B38" t="s">
        <v>79</v>
      </c>
      <c r="C38" t="s">
        <v>99</v>
      </c>
      <c r="D38" t="s">
        <v>199</v>
      </c>
      <c r="E38" t="s">
        <v>30</v>
      </c>
      <c r="F38">
        <v>20000</v>
      </c>
      <c r="G38">
        <v>0</v>
      </c>
      <c r="H38">
        <v>0</v>
      </c>
      <c r="I38" t="s">
        <v>37</v>
      </c>
    </row>
    <row r="39" spans="2:9" hidden="1" x14ac:dyDescent="0.35">
      <c r="B39" t="s">
        <v>79</v>
      </c>
      <c r="C39" t="s">
        <v>99</v>
      </c>
      <c r="D39" t="s">
        <v>199</v>
      </c>
      <c r="E39" t="s">
        <v>35</v>
      </c>
      <c r="F39">
        <v>20000</v>
      </c>
      <c r="G39">
        <v>0</v>
      </c>
      <c r="H39">
        <v>0</v>
      </c>
      <c r="I39" t="s">
        <v>37</v>
      </c>
    </row>
    <row r="40" spans="2:9" hidden="1" x14ac:dyDescent="0.35">
      <c r="B40" t="s">
        <v>79</v>
      </c>
      <c r="C40" t="s">
        <v>99</v>
      </c>
      <c r="D40" t="s">
        <v>199</v>
      </c>
      <c r="E40" t="s">
        <v>21</v>
      </c>
      <c r="F40">
        <v>20000</v>
      </c>
      <c r="G40">
        <v>0</v>
      </c>
      <c r="H40">
        <v>0</v>
      </c>
      <c r="I40" t="s">
        <v>37</v>
      </c>
    </row>
    <row r="41" spans="2:9" hidden="1" x14ac:dyDescent="0.35">
      <c r="B41" t="s">
        <v>79</v>
      </c>
      <c r="C41" t="s">
        <v>99</v>
      </c>
      <c r="D41" t="s">
        <v>199</v>
      </c>
      <c r="E41" t="s">
        <v>20</v>
      </c>
      <c r="F41">
        <v>20000</v>
      </c>
      <c r="G41">
        <v>0</v>
      </c>
      <c r="H41">
        <v>0</v>
      </c>
      <c r="I41" t="s">
        <v>37</v>
      </c>
    </row>
    <row r="42" spans="2:9" hidden="1" x14ac:dyDescent="0.35">
      <c r="B42" t="s">
        <v>79</v>
      </c>
      <c r="C42" t="s">
        <v>99</v>
      </c>
      <c r="D42" t="s">
        <v>199</v>
      </c>
      <c r="E42" t="s">
        <v>31</v>
      </c>
      <c r="F42">
        <v>20000</v>
      </c>
      <c r="G42">
        <v>0</v>
      </c>
      <c r="H42">
        <v>0</v>
      </c>
      <c r="I42" t="s">
        <v>37</v>
      </c>
    </row>
    <row r="43" spans="2:9" hidden="1" x14ac:dyDescent="0.35">
      <c r="B43" t="s">
        <v>79</v>
      </c>
      <c r="C43" t="s">
        <v>99</v>
      </c>
      <c r="D43" t="s">
        <v>199</v>
      </c>
      <c r="E43" t="s">
        <v>33</v>
      </c>
      <c r="F43">
        <v>8000</v>
      </c>
      <c r="G43">
        <v>0</v>
      </c>
      <c r="H43">
        <v>0</v>
      </c>
      <c r="I43" t="s">
        <v>37</v>
      </c>
    </row>
    <row r="44" spans="2:9" hidden="1" x14ac:dyDescent="0.35">
      <c r="B44" t="s">
        <v>79</v>
      </c>
      <c r="C44" t="s">
        <v>101</v>
      </c>
      <c r="D44" t="s">
        <v>198</v>
      </c>
      <c r="E44" t="s">
        <v>9</v>
      </c>
      <c r="F44">
        <v>30000</v>
      </c>
      <c r="G44">
        <v>0</v>
      </c>
      <c r="H44">
        <v>0</v>
      </c>
      <c r="I44" t="s">
        <v>37</v>
      </c>
    </row>
    <row r="45" spans="2:9" hidden="1" x14ac:dyDescent="0.35">
      <c r="B45" t="s">
        <v>79</v>
      </c>
      <c r="C45" t="s">
        <v>101</v>
      </c>
      <c r="D45" t="s">
        <v>199</v>
      </c>
      <c r="E45" t="s">
        <v>17</v>
      </c>
      <c r="F45">
        <v>15000</v>
      </c>
      <c r="G45">
        <v>0</v>
      </c>
      <c r="H45">
        <v>0</v>
      </c>
      <c r="I45" t="s">
        <v>37</v>
      </c>
    </row>
    <row r="46" spans="2:9" hidden="1" x14ac:dyDescent="0.35">
      <c r="B46" t="s">
        <v>79</v>
      </c>
      <c r="C46" t="s">
        <v>101</v>
      </c>
      <c r="D46" t="s">
        <v>199</v>
      </c>
      <c r="E46" t="s">
        <v>29</v>
      </c>
      <c r="F46">
        <v>15000</v>
      </c>
      <c r="G46">
        <v>0</v>
      </c>
      <c r="H46">
        <v>0</v>
      </c>
      <c r="I46" t="s">
        <v>37</v>
      </c>
    </row>
    <row r="47" spans="2:9" hidden="1" x14ac:dyDescent="0.35">
      <c r="B47" t="s">
        <v>84</v>
      </c>
      <c r="C47" t="s">
        <v>105</v>
      </c>
      <c r="D47" t="s">
        <v>199</v>
      </c>
      <c r="E47" t="s">
        <v>43</v>
      </c>
      <c r="F47">
        <v>5000</v>
      </c>
      <c r="G47">
        <v>0</v>
      </c>
      <c r="H47">
        <v>0</v>
      </c>
      <c r="I47" t="s">
        <v>37</v>
      </c>
    </row>
    <row r="48" spans="2:9" hidden="1" x14ac:dyDescent="0.35">
      <c r="B48" t="s">
        <v>78</v>
      </c>
      <c r="C48" t="s">
        <v>107</v>
      </c>
      <c r="D48" t="s">
        <v>198</v>
      </c>
      <c r="E48" t="s">
        <v>15</v>
      </c>
      <c r="F48">
        <v>3965500</v>
      </c>
      <c r="G48">
        <v>0</v>
      </c>
      <c r="H48">
        <v>0</v>
      </c>
      <c r="I48" t="s">
        <v>37</v>
      </c>
    </row>
    <row r="49" spans="2:9" hidden="1" x14ac:dyDescent="0.35">
      <c r="B49" t="s">
        <v>78</v>
      </c>
      <c r="C49" t="s">
        <v>107</v>
      </c>
      <c r="D49" t="s">
        <v>199</v>
      </c>
      <c r="E49" t="s">
        <v>24</v>
      </c>
      <c r="F49">
        <v>10000</v>
      </c>
      <c r="G49">
        <v>0</v>
      </c>
      <c r="H49">
        <v>0</v>
      </c>
      <c r="I49" t="s">
        <v>37</v>
      </c>
    </row>
    <row r="50" spans="2:9" hidden="1" x14ac:dyDescent="0.35">
      <c r="B50" t="s">
        <v>78</v>
      </c>
      <c r="C50" t="s">
        <v>107</v>
      </c>
      <c r="D50" t="s">
        <v>199</v>
      </c>
      <c r="E50" t="s">
        <v>19</v>
      </c>
      <c r="F50">
        <v>20000</v>
      </c>
      <c r="G50">
        <v>0</v>
      </c>
      <c r="H50">
        <v>0</v>
      </c>
      <c r="I50" t="s">
        <v>37</v>
      </c>
    </row>
    <row r="51" spans="2:9" hidden="1" x14ac:dyDescent="0.35">
      <c r="B51" t="s">
        <v>78</v>
      </c>
      <c r="C51" t="s">
        <v>107</v>
      </c>
      <c r="D51" t="s">
        <v>199</v>
      </c>
      <c r="E51" t="s">
        <v>25</v>
      </c>
      <c r="F51">
        <v>20000</v>
      </c>
      <c r="G51">
        <v>0</v>
      </c>
      <c r="H51">
        <v>0</v>
      </c>
      <c r="I51" t="s">
        <v>37</v>
      </c>
    </row>
    <row r="52" spans="2:9" hidden="1" x14ac:dyDescent="0.35">
      <c r="B52" t="s">
        <v>78</v>
      </c>
      <c r="C52" t="s">
        <v>107</v>
      </c>
      <c r="D52" t="s">
        <v>199</v>
      </c>
      <c r="E52" t="s">
        <v>26</v>
      </c>
      <c r="F52">
        <v>20000</v>
      </c>
      <c r="G52">
        <v>0</v>
      </c>
      <c r="H52">
        <v>0</v>
      </c>
      <c r="I52" t="s">
        <v>37</v>
      </c>
    </row>
    <row r="53" spans="2:9" hidden="1" x14ac:dyDescent="0.35">
      <c r="B53" t="s">
        <v>78</v>
      </c>
      <c r="C53" t="s">
        <v>107</v>
      </c>
      <c r="D53" t="s">
        <v>199</v>
      </c>
      <c r="E53" t="s">
        <v>30</v>
      </c>
      <c r="F53">
        <v>40000</v>
      </c>
      <c r="G53">
        <v>0</v>
      </c>
      <c r="H53">
        <v>0</v>
      </c>
      <c r="I53" t="s">
        <v>37</v>
      </c>
    </row>
    <row r="54" spans="2:9" hidden="1" x14ac:dyDescent="0.35">
      <c r="B54" t="s">
        <v>78</v>
      </c>
      <c r="C54" t="s">
        <v>107</v>
      </c>
      <c r="D54" t="s">
        <v>199</v>
      </c>
      <c r="E54" t="s">
        <v>35</v>
      </c>
      <c r="F54">
        <v>20000</v>
      </c>
      <c r="G54">
        <v>0</v>
      </c>
      <c r="H54">
        <v>0</v>
      </c>
      <c r="I54" t="s">
        <v>37</v>
      </c>
    </row>
    <row r="55" spans="2:9" hidden="1" x14ac:dyDescent="0.35">
      <c r="B55" t="s">
        <v>78</v>
      </c>
      <c r="C55" t="s">
        <v>107</v>
      </c>
      <c r="D55" t="s">
        <v>199</v>
      </c>
      <c r="E55" t="s">
        <v>22</v>
      </c>
      <c r="F55">
        <v>20000</v>
      </c>
      <c r="G55">
        <v>0</v>
      </c>
      <c r="H55">
        <v>0</v>
      </c>
      <c r="I55" t="s">
        <v>37</v>
      </c>
    </row>
    <row r="56" spans="2:9" hidden="1" x14ac:dyDescent="0.35">
      <c r="B56" t="s">
        <v>78</v>
      </c>
      <c r="C56" t="s">
        <v>107</v>
      </c>
      <c r="D56" t="s">
        <v>199</v>
      </c>
      <c r="E56" t="s">
        <v>21</v>
      </c>
      <c r="F56">
        <v>20000</v>
      </c>
      <c r="G56">
        <v>0</v>
      </c>
      <c r="H56">
        <v>0</v>
      </c>
      <c r="I56" t="s">
        <v>37</v>
      </c>
    </row>
    <row r="57" spans="2:9" hidden="1" x14ac:dyDescent="0.35">
      <c r="B57" t="s">
        <v>78</v>
      </c>
      <c r="C57" t="s">
        <v>107</v>
      </c>
      <c r="D57" t="s">
        <v>199</v>
      </c>
      <c r="E57" t="s">
        <v>18</v>
      </c>
      <c r="F57">
        <v>40000</v>
      </c>
      <c r="G57">
        <v>0</v>
      </c>
      <c r="H57">
        <v>0</v>
      </c>
      <c r="I57" t="s">
        <v>37</v>
      </c>
    </row>
    <row r="58" spans="2:9" hidden="1" x14ac:dyDescent="0.35">
      <c r="B58" t="s">
        <v>78</v>
      </c>
      <c r="C58" t="s">
        <v>107</v>
      </c>
      <c r="D58" t="s">
        <v>199</v>
      </c>
      <c r="E58" t="s">
        <v>23</v>
      </c>
      <c r="F58">
        <v>24500</v>
      </c>
      <c r="G58">
        <v>0</v>
      </c>
      <c r="H58">
        <v>0</v>
      </c>
      <c r="I58" t="s">
        <v>37</v>
      </c>
    </row>
    <row r="59" spans="2:9" hidden="1" x14ac:dyDescent="0.35">
      <c r="B59" t="s">
        <v>78</v>
      </c>
      <c r="C59" t="s">
        <v>107</v>
      </c>
      <c r="D59" t="s">
        <v>199</v>
      </c>
      <c r="E59" t="s">
        <v>32</v>
      </c>
      <c r="F59">
        <v>20000</v>
      </c>
      <c r="G59">
        <v>0</v>
      </c>
      <c r="H59">
        <v>0</v>
      </c>
      <c r="I59" t="s">
        <v>37</v>
      </c>
    </row>
    <row r="60" spans="2:9" hidden="1" x14ac:dyDescent="0.35">
      <c r="B60" t="s">
        <v>78</v>
      </c>
      <c r="C60" t="s">
        <v>107</v>
      </c>
      <c r="D60" t="s">
        <v>199</v>
      </c>
      <c r="E60" t="s">
        <v>20</v>
      </c>
      <c r="F60">
        <v>10000</v>
      </c>
      <c r="G60">
        <v>0</v>
      </c>
      <c r="H60">
        <v>0</v>
      </c>
      <c r="I60" t="s">
        <v>37</v>
      </c>
    </row>
    <row r="61" spans="2:9" hidden="1" x14ac:dyDescent="0.35">
      <c r="B61" t="s">
        <v>78</v>
      </c>
      <c r="C61" t="s">
        <v>107</v>
      </c>
      <c r="D61" t="s">
        <v>199</v>
      </c>
      <c r="E61" t="s">
        <v>31</v>
      </c>
      <c r="F61">
        <v>40000</v>
      </c>
      <c r="G61">
        <v>0</v>
      </c>
      <c r="H61">
        <v>0</v>
      </c>
      <c r="I61" t="s">
        <v>37</v>
      </c>
    </row>
    <row r="62" spans="2:9" hidden="1" x14ac:dyDescent="0.35">
      <c r="B62" t="s">
        <v>78</v>
      </c>
      <c r="C62" t="s">
        <v>107</v>
      </c>
      <c r="D62" t="s">
        <v>199</v>
      </c>
      <c r="E62" t="s">
        <v>27</v>
      </c>
      <c r="F62">
        <v>40000</v>
      </c>
      <c r="G62">
        <v>0</v>
      </c>
      <c r="H62">
        <v>0</v>
      </c>
      <c r="I62" t="s">
        <v>37</v>
      </c>
    </row>
    <row r="63" spans="2:9" hidden="1" x14ac:dyDescent="0.35">
      <c r="B63" t="s">
        <v>83</v>
      </c>
      <c r="C63" t="s">
        <v>111</v>
      </c>
      <c r="D63" t="s">
        <v>198</v>
      </c>
      <c r="E63" t="s">
        <v>11</v>
      </c>
      <c r="F63">
        <v>326600</v>
      </c>
      <c r="G63">
        <v>0</v>
      </c>
      <c r="H63">
        <v>0</v>
      </c>
      <c r="I63" t="s">
        <v>37</v>
      </c>
    </row>
    <row r="64" spans="2:9" hidden="1" x14ac:dyDescent="0.35">
      <c r="B64" t="s">
        <v>80</v>
      </c>
      <c r="C64" t="s">
        <v>111</v>
      </c>
      <c r="D64" t="s">
        <v>198</v>
      </c>
      <c r="E64" t="s">
        <v>14</v>
      </c>
      <c r="F64">
        <v>550000</v>
      </c>
      <c r="G64">
        <v>0</v>
      </c>
      <c r="H64">
        <v>0</v>
      </c>
      <c r="I64" t="s">
        <v>37</v>
      </c>
    </row>
    <row r="65" spans="2:9" hidden="1" x14ac:dyDescent="0.35">
      <c r="B65" t="s">
        <v>78</v>
      </c>
      <c r="C65" t="s">
        <v>113</v>
      </c>
      <c r="D65" t="s">
        <v>198</v>
      </c>
      <c r="E65" t="s">
        <v>15</v>
      </c>
      <c r="F65">
        <v>830000</v>
      </c>
      <c r="G65">
        <v>0</v>
      </c>
      <c r="H65">
        <v>0</v>
      </c>
      <c r="I65" t="s">
        <v>37</v>
      </c>
    </row>
    <row r="66" spans="2:9" hidden="1" x14ac:dyDescent="0.35">
      <c r="B66" t="s">
        <v>81</v>
      </c>
      <c r="C66" t="s">
        <v>115</v>
      </c>
      <c r="D66" t="s">
        <v>198</v>
      </c>
      <c r="E66" t="s">
        <v>6</v>
      </c>
      <c r="F66">
        <v>100000</v>
      </c>
      <c r="G66">
        <v>0</v>
      </c>
      <c r="H66">
        <v>0</v>
      </c>
      <c r="I66" t="s">
        <v>37</v>
      </c>
    </row>
    <row r="67" spans="2:9" hidden="1" x14ac:dyDescent="0.35">
      <c r="B67" t="s">
        <v>78</v>
      </c>
      <c r="C67" t="s">
        <v>115</v>
      </c>
      <c r="D67" t="s">
        <v>199</v>
      </c>
      <c r="E67" t="s">
        <v>22</v>
      </c>
      <c r="F67">
        <v>8000</v>
      </c>
      <c r="G67">
        <v>0</v>
      </c>
      <c r="H67">
        <v>0</v>
      </c>
      <c r="I67" t="s">
        <v>37</v>
      </c>
    </row>
    <row r="68" spans="2:9" hidden="1" x14ac:dyDescent="0.35">
      <c r="B68" t="s">
        <v>78</v>
      </c>
      <c r="C68" t="s">
        <v>115</v>
      </c>
      <c r="D68" t="s">
        <v>199</v>
      </c>
      <c r="E68" t="s">
        <v>31</v>
      </c>
      <c r="F68">
        <v>9500</v>
      </c>
      <c r="G68">
        <v>0</v>
      </c>
      <c r="H68">
        <v>0</v>
      </c>
      <c r="I68" t="s">
        <v>37</v>
      </c>
    </row>
    <row r="69" spans="2:9" hidden="1" x14ac:dyDescent="0.35">
      <c r="B69" t="s">
        <v>82</v>
      </c>
      <c r="C69" t="s">
        <v>124</v>
      </c>
      <c r="D69" t="s">
        <v>198</v>
      </c>
      <c r="E69" t="s">
        <v>7</v>
      </c>
      <c r="F69">
        <v>134000</v>
      </c>
      <c r="G69">
        <v>0</v>
      </c>
      <c r="H69">
        <v>0</v>
      </c>
      <c r="I69" t="s">
        <v>37</v>
      </c>
    </row>
    <row r="70" spans="2:9" hidden="1" x14ac:dyDescent="0.35">
      <c r="B70" t="s">
        <v>82</v>
      </c>
      <c r="C70" t="s">
        <v>124</v>
      </c>
      <c r="D70" t="s">
        <v>199</v>
      </c>
      <c r="E70" t="s">
        <v>43</v>
      </c>
      <c r="F70">
        <v>15000</v>
      </c>
      <c r="G70">
        <v>0</v>
      </c>
      <c r="H70">
        <v>0</v>
      </c>
      <c r="I70" t="s">
        <v>37</v>
      </c>
    </row>
    <row r="71" spans="2:9" hidden="1" x14ac:dyDescent="0.35">
      <c r="B71" t="s">
        <v>82</v>
      </c>
      <c r="C71" t="s">
        <v>124</v>
      </c>
      <c r="D71" t="s">
        <v>199</v>
      </c>
      <c r="E71" t="s">
        <v>17</v>
      </c>
      <c r="F71">
        <v>15000</v>
      </c>
      <c r="G71">
        <v>0</v>
      </c>
      <c r="H71">
        <v>0</v>
      </c>
      <c r="I71" t="s">
        <v>37</v>
      </c>
    </row>
    <row r="72" spans="2:9" hidden="1" x14ac:dyDescent="0.35">
      <c r="B72" t="s">
        <v>82</v>
      </c>
      <c r="C72" t="s">
        <v>124</v>
      </c>
      <c r="D72" t="s">
        <v>199</v>
      </c>
      <c r="E72" t="s">
        <v>29</v>
      </c>
      <c r="F72">
        <v>15000</v>
      </c>
      <c r="G72">
        <v>0</v>
      </c>
      <c r="H72">
        <v>0</v>
      </c>
      <c r="I72" t="s">
        <v>37</v>
      </c>
    </row>
    <row r="73" spans="2:9" hidden="1" x14ac:dyDescent="0.35">
      <c r="B73" t="s">
        <v>82</v>
      </c>
      <c r="C73" t="s">
        <v>124</v>
      </c>
      <c r="D73" t="s">
        <v>199</v>
      </c>
      <c r="E73" t="s">
        <v>33</v>
      </c>
      <c r="F73">
        <v>15000</v>
      </c>
      <c r="G73">
        <v>0</v>
      </c>
      <c r="H73">
        <v>0</v>
      </c>
      <c r="I73" t="s">
        <v>37</v>
      </c>
    </row>
    <row r="74" spans="2:9" hidden="1" x14ac:dyDescent="0.35">
      <c r="B74" t="s">
        <v>82</v>
      </c>
      <c r="C74" t="s">
        <v>124</v>
      </c>
      <c r="D74" t="s">
        <v>199</v>
      </c>
      <c r="E74" t="s">
        <v>28</v>
      </c>
      <c r="F74">
        <v>15000</v>
      </c>
      <c r="G74">
        <v>0</v>
      </c>
      <c r="H74">
        <v>0</v>
      </c>
      <c r="I74" t="s">
        <v>37</v>
      </c>
    </row>
    <row r="75" spans="2:9" hidden="1" x14ac:dyDescent="0.35">
      <c r="B75" t="s">
        <v>77</v>
      </c>
      <c r="C75" t="s">
        <v>128</v>
      </c>
      <c r="D75" t="s">
        <v>198</v>
      </c>
      <c r="E75" t="s">
        <v>8</v>
      </c>
      <c r="F75">
        <v>250000</v>
      </c>
      <c r="G75">
        <v>0</v>
      </c>
      <c r="H75">
        <v>0</v>
      </c>
      <c r="I75" t="s">
        <v>37</v>
      </c>
    </row>
    <row r="76" spans="2:9" hidden="1" x14ac:dyDescent="0.35">
      <c r="B76" t="s">
        <v>82</v>
      </c>
      <c r="C76" t="s">
        <v>134</v>
      </c>
      <c r="D76" t="s">
        <v>199</v>
      </c>
      <c r="E76" t="s">
        <v>28</v>
      </c>
      <c r="F76">
        <v>118000</v>
      </c>
      <c r="G76">
        <v>0</v>
      </c>
      <c r="H76">
        <v>0</v>
      </c>
      <c r="I76" t="s">
        <v>37</v>
      </c>
    </row>
    <row r="77" spans="2:9" hidden="1" x14ac:dyDescent="0.35">
      <c r="B77" t="s">
        <v>82</v>
      </c>
      <c r="C77" t="s">
        <v>136</v>
      </c>
      <c r="D77" t="s">
        <v>199</v>
      </c>
      <c r="E77" t="s">
        <v>24</v>
      </c>
      <c r="F77">
        <v>16500</v>
      </c>
      <c r="G77">
        <v>0</v>
      </c>
      <c r="H77">
        <v>0</v>
      </c>
      <c r="I77" t="s">
        <v>37</v>
      </c>
    </row>
    <row r="78" spans="2:9" hidden="1" x14ac:dyDescent="0.35">
      <c r="B78" t="s">
        <v>82</v>
      </c>
      <c r="C78" t="s">
        <v>136</v>
      </c>
      <c r="D78" t="s">
        <v>199</v>
      </c>
      <c r="E78" t="s">
        <v>43</v>
      </c>
      <c r="F78">
        <v>14900</v>
      </c>
      <c r="G78">
        <v>0</v>
      </c>
      <c r="H78">
        <v>0</v>
      </c>
      <c r="I78" t="s">
        <v>37</v>
      </c>
    </row>
    <row r="79" spans="2:9" hidden="1" x14ac:dyDescent="0.35">
      <c r="B79" t="s">
        <v>82</v>
      </c>
      <c r="C79" t="s">
        <v>138</v>
      </c>
      <c r="D79" t="s">
        <v>198</v>
      </c>
      <c r="E79" t="s">
        <v>7</v>
      </c>
      <c r="F79">
        <v>19000</v>
      </c>
      <c r="G79">
        <v>0</v>
      </c>
      <c r="H79">
        <v>0</v>
      </c>
      <c r="I79" t="s">
        <v>37</v>
      </c>
    </row>
    <row r="80" spans="2:9" hidden="1" x14ac:dyDescent="0.35">
      <c r="B80" t="s">
        <v>82</v>
      </c>
      <c r="C80" t="s">
        <v>138</v>
      </c>
      <c r="D80" t="s">
        <v>199</v>
      </c>
      <c r="E80" t="s">
        <v>24</v>
      </c>
      <c r="F80">
        <v>4000</v>
      </c>
      <c r="G80">
        <v>0</v>
      </c>
      <c r="H80">
        <v>0</v>
      </c>
      <c r="I80" t="s">
        <v>37</v>
      </c>
    </row>
    <row r="81" spans="2:9" hidden="1" x14ac:dyDescent="0.35">
      <c r="B81" t="s">
        <v>82</v>
      </c>
      <c r="C81" t="s">
        <v>138</v>
      </c>
      <c r="D81" t="s">
        <v>199</v>
      </c>
      <c r="E81" t="s">
        <v>19</v>
      </c>
      <c r="F81">
        <v>4000</v>
      </c>
      <c r="G81">
        <v>0</v>
      </c>
      <c r="H81">
        <v>0</v>
      </c>
      <c r="I81" t="s">
        <v>37</v>
      </c>
    </row>
    <row r="82" spans="2:9" hidden="1" x14ac:dyDescent="0.35">
      <c r="B82" t="s">
        <v>82</v>
      </c>
      <c r="C82" t="s">
        <v>138</v>
      </c>
      <c r="D82" t="s">
        <v>199</v>
      </c>
      <c r="E82" t="s">
        <v>25</v>
      </c>
      <c r="F82">
        <v>4000</v>
      </c>
      <c r="G82">
        <v>0</v>
      </c>
      <c r="H82">
        <v>0</v>
      </c>
      <c r="I82" t="s">
        <v>37</v>
      </c>
    </row>
    <row r="83" spans="2:9" hidden="1" x14ac:dyDescent="0.35">
      <c r="B83" t="s">
        <v>82</v>
      </c>
      <c r="C83" t="s">
        <v>138</v>
      </c>
      <c r="D83" t="s">
        <v>199</v>
      </c>
      <c r="E83" t="s">
        <v>26</v>
      </c>
      <c r="F83">
        <v>4000</v>
      </c>
      <c r="G83">
        <v>0</v>
      </c>
      <c r="H83">
        <v>0</v>
      </c>
      <c r="I83" t="s">
        <v>37</v>
      </c>
    </row>
    <row r="84" spans="2:9" hidden="1" x14ac:dyDescent="0.35">
      <c r="B84" t="s">
        <v>82</v>
      </c>
      <c r="C84" t="s">
        <v>138</v>
      </c>
      <c r="D84" t="s">
        <v>199</v>
      </c>
      <c r="E84" t="s">
        <v>30</v>
      </c>
      <c r="F84">
        <v>4000</v>
      </c>
      <c r="G84">
        <v>0</v>
      </c>
      <c r="H84">
        <v>0</v>
      </c>
      <c r="I84" t="s">
        <v>37</v>
      </c>
    </row>
    <row r="85" spans="2:9" hidden="1" x14ac:dyDescent="0.35">
      <c r="B85" t="s">
        <v>82</v>
      </c>
      <c r="C85" t="s">
        <v>138</v>
      </c>
      <c r="D85" t="s">
        <v>199</v>
      </c>
      <c r="E85" t="s">
        <v>35</v>
      </c>
      <c r="F85">
        <v>4000</v>
      </c>
      <c r="G85">
        <v>0</v>
      </c>
      <c r="H85">
        <v>0</v>
      </c>
      <c r="I85" t="s">
        <v>37</v>
      </c>
    </row>
    <row r="86" spans="2:9" hidden="1" x14ac:dyDescent="0.35">
      <c r="B86" t="s">
        <v>82</v>
      </c>
      <c r="C86" t="s">
        <v>138</v>
      </c>
      <c r="D86" t="s">
        <v>199</v>
      </c>
      <c r="E86" t="s">
        <v>22</v>
      </c>
      <c r="F86">
        <v>4000</v>
      </c>
      <c r="G86">
        <v>0</v>
      </c>
      <c r="H86">
        <v>0</v>
      </c>
      <c r="I86" t="s">
        <v>37</v>
      </c>
    </row>
    <row r="87" spans="2:9" hidden="1" x14ac:dyDescent="0.35">
      <c r="B87" t="s">
        <v>82</v>
      </c>
      <c r="C87" t="s">
        <v>138</v>
      </c>
      <c r="D87" t="s">
        <v>199</v>
      </c>
      <c r="E87" t="s">
        <v>21</v>
      </c>
      <c r="F87">
        <v>4000</v>
      </c>
      <c r="G87">
        <v>0</v>
      </c>
      <c r="H87">
        <v>0</v>
      </c>
      <c r="I87" t="s">
        <v>37</v>
      </c>
    </row>
    <row r="88" spans="2:9" hidden="1" x14ac:dyDescent="0.35">
      <c r="B88" t="s">
        <v>82</v>
      </c>
      <c r="C88" t="s">
        <v>138</v>
      </c>
      <c r="D88" t="s">
        <v>199</v>
      </c>
      <c r="E88" t="s">
        <v>18</v>
      </c>
      <c r="F88">
        <v>4000</v>
      </c>
      <c r="G88">
        <v>0</v>
      </c>
      <c r="H88">
        <v>0</v>
      </c>
      <c r="I88" t="s">
        <v>37</v>
      </c>
    </row>
    <row r="89" spans="2:9" hidden="1" x14ac:dyDescent="0.35">
      <c r="B89" t="s">
        <v>82</v>
      </c>
      <c r="C89" t="s">
        <v>138</v>
      </c>
      <c r="D89" t="s">
        <v>199</v>
      </c>
      <c r="E89" t="s">
        <v>23</v>
      </c>
      <c r="F89">
        <v>4000</v>
      </c>
      <c r="G89">
        <v>0</v>
      </c>
      <c r="H89">
        <v>0</v>
      </c>
      <c r="I89" t="s">
        <v>37</v>
      </c>
    </row>
    <row r="90" spans="2:9" hidden="1" x14ac:dyDescent="0.35">
      <c r="B90" t="s">
        <v>82</v>
      </c>
      <c r="C90" t="s">
        <v>138</v>
      </c>
      <c r="D90" t="s">
        <v>199</v>
      </c>
      <c r="E90" t="s">
        <v>32</v>
      </c>
      <c r="F90">
        <v>4000</v>
      </c>
      <c r="G90">
        <v>0</v>
      </c>
      <c r="H90">
        <v>0</v>
      </c>
      <c r="I90" t="s">
        <v>37</v>
      </c>
    </row>
    <row r="91" spans="2:9" hidden="1" x14ac:dyDescent="0.35">
      <c r="B91" t="s">
        <v>82</v>
      </c>
      <c r="C91" t="s">
        <v>138</v>
      </c>
      <c r="D91" t="s">
        <v>199</v>
      </c>
      <c r="E91" t="s">
        <v>31</v>
      </c>
      <c r="F91">
        <v>4000</v>
      </c>
      <c r="G91">
        <v>0</v>
      </c>
      <c r="H91">
        <v>0</v>
      </c>
      <c r="I91" t="s">
        <v>37</v>
      </c>
    </row>
    <row r="92" spans="2:9" hidden="1" x14ac:dyDescent="0.35">
      <c r="B92" t="s">
        <v>82</v>
      </c>
      <c r="C92" t="s">
        <v>138</v>
      </c>
      <c r="D92" t="s">
        <v>199</v>
      </c>
      <c r="E92" t="s">
        <v>43</v>
      </c>
      <c r="F92">
        <v>4000</v>
      </c>
      <c r="G92">
        <v>0</v>
      </c>
      <c r="H92">
        <v>0</v>
      </c>
      <c r="I92" t="s">
        <v>37</v>
      </c>
    </row>
    <row r="93" spans="2:9" hidden="1" x14ac:dyDescent="0.35">
      <c r="B93" t="s">
        <v>82</v>
      </c>
      <c r="C93" t="s">
        <v>138</v>
      </c>
      <c r="D93" t="s">
        <v>199</v>
      </c>
      <c r="E93" t="s">
        <v>17</v>
      </c>
      <c r="F93">
        <v>4000</v>
      </c>
      <c r="G93">
        <v>0</v>
      </c>
      <c r="H93">
        <v>0</v>
      </c>
      <c r="I93" t="s">
        <v>37</v>
      </c>
    </row>
    <row r="94" spans="2:9" hidden="1" x14ac:dyDescent="0.35">
      <c r="B94" t="s">
        <v>82</v>
      </c>
      <c r="C94" t="s">
        <v>138</v>
      </c>
      <c r="D94" t="s">
        <v>199</v>
      </c>
      <c r="E94" t="s">
        <v>29</v>
      </c>
      <c r="F94">
        <v>4000</v>
      </c>
      <c r="G94">
        <v>0</v>
      </c>
      <c r="H94">
        <v>0</v>
      </c>
      <c r="I94" t="s">
        <v>37</v>
      </c>
    </row>
    <row r="95" spans="2:9" hidden="1" x14ac:dyDescent="0.35">
      <c r="B95" t="s">
        <v>82</v>
      </c>
      <c r="C95" t="s">
        <v>138</v>
      </c>
      <c r="D95" t="s">
        <v>199</v>
      </c>
      <c r="E95" t="s">
        <v>27</v>
      </c>
      <c r="F95">
        <v>4000</v>
      </c>
      <c r="G95">
        <v>0</v>
      </c>
      <c r="H95">
        <v>0</v>
      </c>
      <c r="I95" t="s">
        <v>37</v>
      </c>
    </row>
    <row r="96" spans="2:9" hidden="1" x14ac:dyDescent="0.35">
      <c r="B96" t="s">
        <v>82</v>
      </c>
      <c r="C96" t="s">
        <v>138</v>
      </c>
      <c r="D96" t="s">
        <v>199</v>
      </c>
      <c r="E96" t="s">
        <v>33</v>
      </c>
      <c r="F96">
        <v>4000</v>
      </c>
      <c r="G96">
        <v>0</v>
      </c>
      <c r="H96">
        <v>0</v>
      </c>
      <c r="I96" t="s">
        <v>37</v>
      </c>
    </row>
    <row r="97" spans="1:9" hidden="1" x14ac:dyDescent="0.35">
      <c r="B97" t="s">
        <v>82</v>
      </c>
      <c r="C97" t="s">
        <v>138</v>
      </c>
      <c r="D97" t="s">
        <v>199</v>
      </c>
      <c r="E97" t="s">
        <v>28</v>
      </c>
      <c r="F97">
        <v>4000</v>
      </c>
      <c r="G97">
        <v>0</v>
      </c>
      <c r="H97">
        <v>0</v>
      </c>
      <c r="I97" t="s">
        <v>37</v>
      </c>
    </row>
    <row r="98" spans="1:9" hidden="1" x14ac:dyDescent="0.35">
      <c r="B98" t="s">
        <v>77</v>
      </c>
      <c r="C98" t="s">
        <v>140</v>
      </c>
      <c r="D98" t="s">
        <v>198</v>
      </c>
      <c r="E98" t="s">
        <v>8</v>
      </c>
      <c r="F98">
        <v>250000</v>
      </c>
      <c r="G98">
        <v>0</v>
      </c>
      <c r="H98">
        <v>0</v>
      </c>
      <c r="I98" t="s">
        <v>37</v>
      </c>
    </row>
    <row r="99" spans="1:9" hidden="1" x14ac:dyDescent="0.35">
      <c r="B99" t="s">
        <v>75</v>
      </c>
      <c r="C99" t="s">
        <v>146</v>
      </c>
      <c r="D99" t="s">
        <v>198</v>
      </c>
      <c r="E99" t="s">
        <v>41</v>
      </c>
      <c r="F99">
        <v>1599200</v>
      </c>
      <c r="G99">
        <v>0</v>
      </c>
      <c r="H99">
        <v>0</v>
      </c>
      <c r="I99" t="s">
        <v>37</v>
      </c>
    </row>
    <row r="100" spans="1:9" hidden="1" x14ac:dyDescent="0.35">
      <c r="B100" t="s">
        <v>81</v>
      </c>
      <c r="C100" t="s">
        <v>154</v>
      </c>
      <c r="D100" t="s">
        <v>199</v>
      </c>
      <c r="E100" t="s">
        <v>31</v>
      </c>
      <c r="F100">
        <v>50000</v>
      </c>
      <c r="G100">
        <v>0</v>
      </c>
      <c r="H100">
        <v>0</v>
      </c>
      <c r="I100" t="s">
        <v>37</v>
      </c>
    </row>
    <row r="101" spans="1:9" hidden="1" x14ac:dyDescent="0.35">
      <c r="B101" t="s">
        <v>81</v>
      </c>
      <c r="C101" t="s">
        <v>156</v>
      </c>
      <c r="D101" t="s">
        <v>199</v>
      </c>
      <c r="E101" t="s">
        <v>22</v>
      </c>
      <c r="F101">
        <v>10000</v>
      </c>
      <c r="G101">
        <v>0</v>
      </c>
      <c r="H101">
        <v>0</v>
      </c>
      <c r="I101" t="s">
        <v>37</v>
      </c>
    </row>
    <row r="102" spans="1:9" hidden="1" x14ac:dyDescent="0.35">
      <c r="B102" t="s">
        <v>81</v>
      </c>
      <c r="C102" t="s">
        <v>156</v>
      </c>
      <c r="D102" t="s">
        <v>199</v>
      </c>
      <c r="E102" t="s">
        <v>17</v>
      </c>
      <c r="F102">
        <v>40000</v>
      </c>
      <c r="G102">
        <v>0</v>
      </c>
      <c r="H102">
        <v>0</v>
      </c>
      <c r="I102" t="s">
        <v>37</v>
      </c>
    </row>
    <row r="103" spans="1:9" hidden="1" x14ac:dyDescent="0.35">
      <c r="B103" t="s">
        <v>81</v>
      </c>
      <c r="C103" t="s">
        <v>160</v>
      </c>
      <c r="D103" t="s">
        <v>199</v>
      </c>
      <c r="E103" t="s">
        <v>31</v>
      </c>
      <c r="F103">
        <v>10300</v>
      </c>
      <c r="G103">
        <v>0</v>
      </c>
      <c r="H103">
        <v>0</v>
      </c>
      <c r="I103" t="s">
        <v>37</v>
      </c>
    </row>
    <row r="104" spans="1:9" hidden="1" x14ac:dyDescent="0.35">
      <c r="B104" t="s">
        <v>81</v>
      </c>
      <c r="C104" t="s">
        <v>160</v>
      </c>
      <c r="D104" t="s">
        <v>199</v>
      </c>
      <c r="E104" t="s">
        <v>43</v>
      </c>
      <c r="F104">
        <v>10000</v>
      </c>
      <c r="G104">
        <v>0</v>
      </c>
      <c r="H104">
        <v>0</v>
      </c>
      <c r="I104" t="s">
        <v>37</v>
      </c>
    </row>
    <row r="105" spans="1:9" hidden="1" x14ac:dyDescent="0.35">
      <c r="B105" t="s">
        <v>81</v>
      </c>
      <c r="C105" t="s">
        <v>160</v>
      </c>
      <c r="D105" t="s">
        <v>199</v>
      </c>
      <c r="E105" t="s">
        <v>29</v>
      </c>
      <c r="F105">
        <v>15000</v>
      </c>
      <c r="G105">
        <v>0</v>
      </c>
      <c r="H105">
        <v>0</v>
      </c>
      <c r="I105" t="s">
        <v>37</v>
      </c>
    </row>
    <row r="106" spans="1:9" hidden="1" x14ac:dyDescent="0.35">
      <c r="B106" t="s">
        <v>81</v>
      </c>
      <c r="C106" t="s">
        <v>160</v>
      </c>
      <c r="D106" t="s">
        <v>199</v>
      </c>
      <c r="E106" t="s">
        <v>28</v>
      </c>
      <c r="F106">
        <v>8400</v>
      </c>
      <c r="G106">
        <v>0</v>
      </c>
      <c r="H106">
        <v>0</v>
      </c>
      <c r="I106" t="s">
        <v>37</v>
      </c>
    </row>
    <row r="107" spans="1:9" hidden="1" x14ac:dyDescent="0.35">
      <c r="B107" t="s">
        <v>45</v>
      </c>
      <c r="C107" t="s">
        <v>162</v>
      </c>
      <c r="D107" t="s">
        <v>198</v>
      </c>
      <c r="E107" t="s">
        <v>45</v>
      </c>
      <c r="F107">
        <v>56200</v>
      </c>
      <c r="G107">
        <v>0</v>
      </c>
      <c r="H107">
        <v>0</v>
      </c>
      <c r="I107" t="s">
        <v>37</v>
      </c>
    </row>
    <row r="108" spans="1:9" hidden="1" x14ac:dyDescent="0.35">
      <c r="A108" t="s">
        <v>200</v>
      </c>
      <c r="B108" t="s">
        <v>62</v>
      </c>
      <c r="C108" t="s">
        <v>201</v>
      </c>
      <c r="D108" t="s">
        <v>198</v>
      </c>
      <c r="E108" t="s">
        <v>42</v>
      </c>
      <c r="F108">
        <v>3870000</v>
      </c>
      <c r="G108">
        <v>0</v>
      </c>
      <c r="H108">
        <v>0</v>
      </c>
      <c r="I108" t="s">
        <v>36</v>
      </c>
    </row>
    <row r="109" spans="1:9" hidden="1" x14ac:dyDescent="0.35">
      <c r="A109" t="s">
        <v>202</v>
      </c>
      <c r="B109" t="s">
        <v>59</v>
      </c>
      <c r="C109" t="s">
        <v>203</v>
      </c>
      <c r="D109" t="s">
        <v>198</v>
      </c>
      <c r="E109" t="s">
        <v>45</v>
      </c>
      <c r="F109">
        <v>6000</v>
      </c>
      <c r="G109">
        <v>0</v>
      </c>
      <c r="H109">
        <v>0</v>
      </c>
      <c r="I109" t="s">
        <v>36</v>
      </c>
    </row>
    <row r="110" spans="1:9" hidden="1" x14ac:dyDescent="0.35">
      <c r="A110" t="s">
        <v>202</v>
      </c>
      <c r="B110" t="s">
        <v>59</v>
      </c>
      <c r="C110" t="s">
        <v>203</v>
      </c>
      <c r="D110" t="s">
        <v>198</v>
      </c>
      <c r="E110" t="s">
        <v>11</v>
      </c>
      <c r="F110">
        <v>50000</v>
      </c>
      <c r="G110">
        <v>0</v>
      </c>
      <c r="H110">
        <v>0</v>
      </c>
      <c r="I110" t="s">
        <v>36</v>
      </c>
    </row>
    <row r="111" spans="1:9" hidden="1" x14ac:dyDescent="0.35">
      <c r="A111" t="s">
        <v>204</v>
      </c>
      <c r="B111" t="s">
        <v>63</v>
      </c>
      <c r="C111" t="s">
        <v>205</v>
      </c>
      <c r="D111" t="s">
        <v>198</v>
      </c>
      <c r="E111" t="s">
        <v>42</v>
      </c>
      <c r="F111">
        <v>1358600</v>
      </c>
      <c r="G111">
        <v>0</v>
      </c>
      <c r="H111">
        <v>0</v>
      </c>
      <c r="I111" t="s">
        <v>36</v>
      </c>
    </row>
    <row r="112" spans="1:9" hidden="1" x14ac:dyDescent="0.35">
      <c r="A112" t="s">
        <v>204</v>
      </c>
      <c r="B112" t="s">
        <v>63</v>
      </c>
      <c r="C112" t="s">
        <v>205</v>
      </c>
      <c r="D112" t="s">
        <v>198</v>
      </c>
      <c r="E112" t="s">
        <v>15</v>
      </c>
      <c r="F112">
        <v>6300</v>
      </c>
      <c r="G112">
        <v>0</v>
      </c>
      <c r="H112">
        <v>0</v>
      </c>
      <c r="I112" t="s">
        <v>36</v>
      </c>
    </row>
    <row r="113" spans="1:9" hidden="1" x14ac:dyDescent="0.35">
      <c r="A113" t="s">
        <v>204</v>
      </c>
      <c r="B113" t="s">
        <v>63</v>
      </c>
      <c r="C113" t="s">
        <v>205</v>
      </c>
      <c r="D113" t="s">
        <v>198</v>
      </c>
      <c r="E113" t="s">
        <v>7</v>
      </c>
      <c r="F113">
        <v>18600</v>
      </c>
      <c r="G113">
        <v>0</v>
      </c>
      <c r="H113">
        <v>0</v>
      </c>
      <c r="I113" t="s">
        <v>36</v>
      </c>
    </row>
    <row r="114" spans="1:9" hidden="1" x14ac:dyDescent="0.35">
      <c r="A114" t="s">
        <v>204</v>
      </c>
      <c r="B114" t="s">
        <v>63</v>
      </c>
      <c r="C114" t="s">
        <v>205</v>
      </c>
      <c r="D114" t="s">
        <v>198</v>
      </c>
      <c r="E114" t="s">
        <v>8</v>
      </c>
      <c r="F114">
        <v>50000</v>
      </c>
      <c r="G114">
        <v>0</v>
      </c>
      <c r="H114">
        <v>0</v>
      </c>
      <c r="I114" t="s">
        <v>36</v>
      </c>
    </row>
    <row r="115" spans="1:9" hidden="1" x14ac:dyDescent="0.35">
      <c r="A115" t="s">
        <v>204</v>
      </c>
      <c r="B115" t="s">
        <v>63</v>
      </c>
      <c r="C115" t="s">
        <v>205</v>
      </c>
      <c r="D115" t="s">
        <v>198</v>
      </c>
      <c r="E115" t="s">
        <v>10</v>
      </c>
      <c r="F115">
        <v>3500</v>
      </c>
      <c r="G115">
        <v>0</v>
      </c>
      <c r="H115">
        <v>0</v>
      </c>
      <c r="I115" t="s">
        <v>36</v>
      </c>
    </row>
    <row r="116" spans="1:9" hidden="1" x14ac:dyDescent="0.35">
      <c r="A116" t="s">
        <v>206</v>
      </c>
      <c r="B116" t="s">
        <v>58</v>
      </c>
      <c r="C116" t="s">
        <v>207</v>
      </c>
      <c r="D116" t="s">
        <v>199</v>
      </c>
      <c r="E116" t="s">
        <v>22</v>
      </c>
      <c r="F116">
        <v>33190</v>
      </c>
      <c r="G116">
        <v>0</v>
      </c>
      <c r="H116">
        <v>0</v>
      </c>
      <c r="I116" t="s">
        <v>36</v>
      </c>
    </row>
    <row r="117" spans="1:9" hidden="1" x14ac:dyDescent="0.35">
      <c r="A117" t="s">
        <v>206</v>
      </c>
      <c r="B117" t="s">
        <v>58</v>
      </c>
      <c r="C117" t="s">
        <v>207</v>
      </c>
      <c r="D117" t="s">
        <v>199</v>
      </c>
      <c r="E117" t="s">
        <v>18</v>
      </c>
      <c r="F117">
        <v>42090</v>
      </c>
      <c r="G117">
        <v>0</v>
      </c>
      <c r="H117">
        <v>0</v>
      </c>
      <c r="I117" t="s">
        <v>36</v>
      </c>
    </row>
    <row r="118" spans="1:9" hidden="1" x14ac:dyDescent="0.35">
      <c r="A118" t="s">
        <v>208</v>
      </c>
      <c r="B118" t="s">
        <v>56</v>
      </c>
      <c r="C118" t="s">
        <v>209</v>
      </c>
      <c r="D118" t="s">
        <v>198</v>
      </c>
      <c r="E118" t="s">
        <v>5</v>
      </c>
      <c r="F118">
        <v>3185000</v>
      </c>
      <c r="G118">
        <v>0</v>
      </c>
      <c r="H118">
        <v>0</v>
      </c>
      <c r="I118" t="s">
        <v>36</v>
      </c>
    </row>
    <row r="119" spans="1:9" hidden="1" x14ac:dyDescent="0.35">
      <c r="A119" t="s">
        <v>208</v>
      </c>
      <c r="B119" t="s">
        <v>56</v>
      </c>
      <c r="C119" t="s">
        <v>209</v>
      </c>
      <c r="D119" t="s">
        <v>198</v>
      </c>
      <c r="E119" t="s">
        <v>34</v>
      </c>
      <c r="F119">
        <v>15000</v>
      </c>
      <c r="G119">
        <v>0</v>
      </c>
      <c r="H119">
        <v>0</v>
      </c>
      <c r="I119" t="s">
        <v>36</v>
      </c>
    </row>
    <row r="120" spans="1:9" hidden="1" x14ac:dyDescent="0.35">
      <c r="A120" t="s">
        <v>210</v>
      </c>
      <c r="B120" t="s">
        <v>49</v>
      </c>
      <c r="C120" t="s">
        <v>211</v>
      </c>
      <c r="D120" t="s">
        <v>198</v>
      </c>
      <c r="E120" t="s">
        <v>34</v>
      </c>
      <c r="F120">
        <v>3620000</v>
      </c>
      <c r="G120">
        <v>0</v>
      </c>
      <c r="H120">
        <v>0</v>
      </c>
      <c r="I120" t="s">
        <v>38</v>
      </c>
    </row>
    <row r="121" spans="1:9" hidden="1" x14ac:dyDescent="0.35">
      <c r="A121" t="s">
        <v>212</v>
      </c>
      <c r="B121" t="s">
        <v>72</v>
      </c>
      <c r="C121" t="s">
        <v>213</v>
      </c>
      <c r="D121" t="s">
        <v>198</v>
      </c>
      <c r="E121" t="s">
        <v>34</v>
      </c>
      <c r="F121">
        <v>983200</v>
      </c>
      <c r="G121">
        <v>0</v>
      </c>
      <c r="H121">
        <v>0</v>
      </c>
      <c r="I121" t="s">
        <v>38</v>
      </c>
    </row>
    <row r="122" spans="1:9" hidden="1" x14ac:dyDescent="0.35">
      <c r="A122" t="s">
        <v>212</v>
      </c>
      <c r="B122" t="s">
        <v>72</v>
      </c>
      <c r="C122" t="s">
        <v>213</v>
      </c>
      <c r="D122" t="s">
        <v>199</v>
      </c>
      <c r="E122" t="s">
        <v>19</v>
      </c>
      <c r="F122">
        <v>81800</v>
      </c>
      <c r="G122">
        <v>0</v>
      </c>
      <c r="H122">
        <v>0</v>
      </c>
      <c r="I122" t="s">
        <v>38</v>
      </c>
    </row>
    <row r="123" spans="1:9" hidden="1" x14ac:dyDescent="0.35">
      <c r="A123" t="s">
        <v>212</v>
      </c>
      <c r="B123" t="s">
        <v>72</v>
      </c>
      <c r="C123" t="s">
        <v>213</v>
      </c>
      <c r="D123" t="s">
        <v>199</v>
      </c>
      <c r="E123" t="s">
        <v>22</v>
      </c>
      <c r="F123">
        <v>21300</v>
      </c>
      <c r="G123">
        <v>0</v>
      </c>
      <c r="H123">
        <v>0</v>
      </c>
      <c r="I123" t="s">
        <v>38</v>
      </c>
    </row>
    <row r="124" spans="1:9" hidden="1" x14ac:dyDescent="0.35">
      <c r="A124" t="s">
        <v>212</v>
      </c>
      <c r="B124" t="s">
        <v>72</v>
      </c>
      <c r="C124" t="s">
        <v>213</v>
      </c>
      <c r="D124" t="s">
        <v>199</v>
      </c>
      <c r="E124" t="s">
        <v>31</v>
      </c>
      <c r="F124">
        <v>32000</v>
      </c>
      <c r="G124">
        <v>0</v>
      </c>
      <c r="H124">
        <v>0</v>
      </c>
      <c r="I124" t="s">
        <v>38</v>
      </c>
    </row>
    <row r="125" spans="1:9" hidden="1" x14ac:dyDescent="0.35">
      <c r="A125" t="s">
        <v>214</v>
      </c>
      <c r="B125" t="s">
        <v>50</v>
      </c>
      <c r="C125" t="s">
        <v>215</v>
      </c>
      <c r="D125" t="s">
        <v>198</v>
      </c>
      <c r="E125" t="s">
        <v>42</v>
      </c>
      <c r="F125">
        <v>700000</v>
      </c>
      <c r="G125">
        <v>0</v>
      </c>
      <c r="H125">
        <v>0</v>
      </c>
      <c r="I125" t="s">
        <v>38</v>
      </c>
    </row>
    <row r="126" spans="1:9" hidden="1" x14ac:dyDescent="0.35">
      <c r="A126" t="s">
        <v>216</v>
      </c>
      <c r="B126" t="s">
        <v>52</v>
      </c>
      <c r="C126" t="s">
        <v>217</v>
      </c>
      <c r="D126" t="s">
        <v>198</v>
      </c>
      <c r="E126" t="s">
        <v>34</v>
      </c>
      <c r="F126">
        <v>100000</v>
      </c>
      <c r="G126">
        <v>0</v>
      </c>
      <c r="H126">
        <v>0</v>
      </c>
      <c r="I126" t="s">
        <v>38</v>
      </c>
    </row>
    <row r="127" spans="1:9" hidden="1" x14ac:dyDescent="0.35">
      <c r="A127" t="s">
        <v>216</v>
      </c>
      <c r="B127" t="s">
        <v>52</v>
      </c>
      <c r="C127" t="s">
        <v>217</v>
      </c>
      <c r="D127" t="s">
        <v>198</v>
      </c>
      <c r="E127" t="s">
        <v>34</v>
      </c>
      <c r="F127">
        <v>100000</v>
      </c>
      <c r="G127">
        <v>0</v>
      </c>
      <c r="H127">
        <v>0</v>
      </c>
      <c r="I127" t="s">
        <v>38</v>
      </c>
    </row>
    <row r="128" spans="1:9" hidden="1" x14ac:dyDescent="0.35">
      <c r="A128" t="s">
        <v>218</v>
      </c>
      <c r="B128" t="s">
        <v>53</v>
      </c>
      <c r="C128" t="s">
        <v>219</v>
      </c>
      <c r="D128" t="s">
        <v>198</v>
      </c>
      <c r="E128" t="s">
        <v>34</v>
      </c>
      <c r="F128">
        <v>3200000</v>
      </c>
      <c r="G128">
        <v>0</v>
      </c>
      <c r="H128">
        <v>0</v>
      </c>
      <c r="I128" t="s">
        <v>38</v>
      </c>
    </row>
    <row r="129" spans="1:9" hidden="1" x14ac:dyDescent="0.35">
      <c r="A129" t="s">
        <v>220</v>
      </c>
      <c r="B129" t="s">
        <v>73</v>
      </c>
      <c r="C129" t="s">
        <v>221</v>
      </c>
      <c r="D129" t="s">
        <v>198</v>
      </c>
      <c r="E129" t="s">
        <v>34</v>
      </c>
      <c r="F129">
        <v>9100000</v>
      </c>
      <c r="G129">
        <v>0</v>
      </c>
      <c r="H129">
        <v>0</v>
      </c>
      <c r="I129" t="s">
        <v>38</v>
      </c>
    </row>
    <row r="130" spans="1:9" hidden="1" x14ac:dyDescent="0.35">
      <c r="A130" t="s">
        <v>220</v>
      </c>
      <c r="B130" t="s">
        <v>73</v>
      </c>
      <c r="C130" t="s">
        <v>221</v>
      </c>
      <c r="D130" t="s">
        <v>198</v>
      </c>
      <c r="E130" t="s">
        <v>34</v>
      </c>
      <c r="F130">
        <v>18100</v>
      </c>
      <c r="G130">
        <v>0</v>
      </c>
      <c r="H130">
        <v>0</v>
      </c>
      <c r="I130" t="s">
        <v>38</v>
      </c>
    </row>
    <row r="131" spans="1:9" hidden="1" x14ac:dyDescent="0.35">
      <c r="A131" t="s">
        <v>222</v>
      </c>
      <c r="B131" t="s">
        <v>74</v>
      </c>
      <c r="C131" t="s">
        <v>223</v>
      </c>
      <c r="D131" t="s">
        <v>198</v>
      </c>
      <c r="E131" t="s">
        <v>34</v>
      </c>
      <c r="F131">
        <v>10000000</v>
      </c>
      <c r="G131">
        <v>0</v>
      </c>
      <c r="H131">
        <v>0</v>
      </c>
      <c r="I131" t="s">
        <v>38</v>
      </c>
    </row>
    <row r="132" spans="1:9" hidden="1" x14ac:dyDescent="0.35">
      <c r="A132" t="s">
        <v>222</v>
      </c>
      <c r="B132" t="s">
        <v>74</v>
      </c>
      <c r="C132" t="s">
        <v>223</v>
      </c>
      <c r="D132" t="s">
        <v>198</v>
      </c>
      <c r="E132" t="s">
        <v>34</v>
      </c>
      <c r="F132">
        <v>1900000</v>
      </c>
      <c r="G132">
        <v>0</v>
      </c>
      <c r="H132">
        <v>0</v>
      </c>
      <c r="I132" t="s">
        <v>38</v>
      </c>
    </row>
    <row r="133" spans="1:9" hidden="1" x14ac:dyDescent="0.35">
      <c r="A133" t="s">
        <v>222</v>
      </c>
      <c r="B133" t="s">
        <v>74</v>
      </c>
      <c r="C133" t="s">
        <v>223</v>
      </c>
      <c r="D133" t="s">
        <v>198</v>
      </c>
      <c r="E133" t="s">
        <v>34</v>
      </c>
      <c r="F133">
        <v>500000</v>
      </c>
      <c r="G133">
        <v>0</v>
      </c>
      <c r="H133">
        <v>0</v>
      </c>
      <c r="I133" t="s">
        <v>38</v>
      </c>
    </row>
    <row r="134" spans="1:9" hidden="1" x14ac:dyDescent="0.35">
      <c r="A134" t="s">
        <v>222</v>
      </c>
      <c r="B134" t="s">
        <v>74</v>
      </c>
      <c r="C134" t="s">
        <v>223</v>
      </c>
      <c r="D134" t="s">
        <v>198</v>
      </c>
      <c r="E134" t="s">
        <v>34</v>
      </c>
      <c r="F134">
        <v>1761900</v>
      </c>
      <c r="G134">
        <v>0</v>
      </c>
      <c r="H134">
        <v>0</v>
      </c>
      <c r="I134" t="s">
        <v>38</v>
      </c>
    </row>
    <row r="135" spans="1:9" hidden="1" x14ac:dyDescent="0.35">
      <c r="A135" t="s">
        <v>222</v>
      </c>
      <c r="B135" t="s">
        <v>74</v>
      </c>
      <c r="C135" t="s">
        <v>223</v>
      </c>
      <c r="D135" t="s">
        <v>198</v>
      </c>
      <c r="E135" t="s">
        <v>34</v>
      </c>
      <c r="F135">
        <v>400000</v>
      </c>
      <c r="G135">
        <v>0</v>
      </c>
      <c r="H135">
        <v>0</v>
      </c>
      <c r="I135" t="s">
        <v>38</v>
      </c>
    </row>
    <row r="136" spans="1:9" hidden="1" x14ac:dyDescent="0.35">
      <c r="A136" t="s">
        <v>222</v>
      </c>
      <c r="B136" t="s">
        <v>74</v>
      </c>
      <c r="C136" t="s">
        <v>223</v>
      </c>
      <c r="D136" t="s">
        <v>198</v>
      </c>
      <c r="E136" t="s">
        <v>34</v>
      </c>
      <c r="F136">
        <v>400000</v>
      </c>
      <c r="G136">
        <v>0</v>
      </c>
      <c r="H136">
        <v>0</v>
      </c>
      <c r="I136" t="s">
        <v>38</v>
      </c>
    </row>
    <row r="137" spans="1:9" hidden="1" x14ac:dyDescent="0.35">
      <c r="A137" t="s">
        <v>222</v>
      </c>
      <c r="B137" t="s">
        <v>74</v>
      </c>
      <c r="C137" t="s">
        <v>223</v>
      </c>
      <c r="D137" t="s">
        <v>198</v>
      </c>
      <c r="E137" t="s">
        <v>34</v>
      </c>
      <c r="F137">
        <v>400000</v>
      </c>
      <c r="G137">
        <v>0</v>
      </c>
      <c r="H137">
        <v>0</v>
      </c>
      <c r="I137" t="s">
        <v>38</v>
      </c>
    </row>
    <row r="138" spans="1:9" hidden="1" x14ac:dyDescent="0.35">
      <c r="A138" t="s">
        <v>222</v>
      </c>
      <c r="B138" t="s">
        <v>74</v>
      </c>
      <c r="C138" t="s">
        <v>223</v>
      </c>
      <c r="D138" t="s">
        <v>198</v>
      </c>
      <c r="E138" t="s">
        <v>34</v>
      </c>
      <c r="F138">
        <v>200000</v>
      </c>
      <c r="G138">
        <v>0</v>
      </c>
      <c r="H138">
        <v>0</v>
      </c>
      <c r="I138" t="s">
        <v>38</v>
      </c>
    </row>
    <row r="139" spans="1:9" hidden="1" x14ac:dyDescent="0.35">
      <c r="A139" t="s">
        <v>222</v>
      </c>
      <c r="B139" t="s">
        <v>74</v>
      </c>
      <c r="C139" t="s">
        <v>223</v>
      </c>
      <c r="D139" t="s">
        <v>198</v>
      </c>
      <c r="E139" t="s">
        <v>34</v>
      </c>
      <c r="F139">
        <v>200000</v>
      </c>
      <c r="G139">
        <v>0</v>
      </c>
      <c r="H139">
        <v>0</v>
      </c>
      <c r="I139" t="s">
        <v>38</v>
      </c>
    </row>
    <row r="140" spans="1:9" hidden="1" x14ac:dyDescent="0.35">
      <c r="A140" t="s">
        <v>222</v>
      </c>
      <c r="B140" t="s">
        <v>74</v>
      </c>
      <c r="C140" t="s">
        <v>223</v>
      </c>
      <c r="D140" t="s">
        <v>198</v>
      </c>
      <c r="E140" t="s">
        <v>34</v>
      </c>
      <c r="F140">
        <v>0</v>
      </c>
      <c r="G140">
        <v>0</v>
      </c>
      <c r="H140">
        <v>0</v>
      </c>
      <c r="I140" t="s">
        <v>38</v>
      </c>
    </row>
    <row r="141" spans="1:9" hidden="1" x14ac:dyDescent="0.35">
      <c r="A141" t="s">
        <v>222</v>
      </c>
      <c r="B141" t="s">
        <v>74</v>
      </c>
      <c r="C141" t="s">
        <v>223</v>
      </c>
      <c r="D141" t="s">
        <v>198</v>
      </c>
      <c r="E141" t="s">
        <v>34</v>
      </c>
      <c r="F141">
        <v>700000</v>
      </c>
      <c r="G141">
        <v>0</v>
      </c>
      <c r="H141">
        <v>0</v>
      </c>
      <c r="I141" t="s">
        <v>38</v>
      </c>
    </row>
    <row r="142" spans="1:9" hidden="1" x14ac:dyDescent="0.35">
      <c r="A142" t="s">
        <v>222</v>
      </c>
      <c r="B142" t="s">
        <v>74</v>
      </c>
      <c r="C142" t="s">
        <v>223</v>
      </c>
      <c r="D142" t="s">
        <v>198</v>
      </c>
      <c r="E142" t="s">
        <v>34</v>
      </c>
      <c r="F142">
        <v>300000</v>
      </c>
      <c r="G142">
        <v>0</v>
      </c>
      <c r="H142">
        <v>0</v>
      </c>
      <c r="I142" t="s">
        <v>38</v>
      </c>
    </row>
    <row r="143" spans="1:9" hidden="1" x14ac:dyDescent="0.35">
      <c r="A143" t="s">
        <v>222</v>
      </c>
      <c r="B143" t="s">
        <v>74</v>
      </c>
      <c r="C143" t="s">
        <v>223</v>
      </c>
      <c r="D143" t="s">
        <v>198</v>
      </c>
      <c r="E143" t="s">
        <v>34</v>
      </c>
      <c r="F143">
        <v>300000</v>
      </c>
      <c r="G143">
        <v>0</v>
      </c>
      <c r="H143">
        <v>0</v>
      </c>
      <c r="I143" t="s">
        <v>38</v>
      </c>
    </row>
    <row r="144" spans="1:9" hidden="1" x14ac:dyDescent="0.35">
      <c r="A144" t="s">
        <v>222</v>
      </c>
      <c r="B144" t="s">
        <v>74</v>
      </c>
      <c r="C144" t="s">
        <v>223</v>
      </c>
      <c r="D144" t="s">
        <v>198</v>
      </c>
      <c r="E144" t="s">
        <v>34</v>
      </c>
      <c r="F144">
        <v>300000</v>
      </c>
      <c r="G144">
        <v>0</v>
      </c>
      <c r="H144">
        <v>0</v>
      </c>
      <c r="I144" t="s">
        <v>38</v>
      </c>
    </row>
    <row r="145" spans="1:9" hidden="1" x14ac:dyDescent="0.35">
      <c r="A145" t="s">
        <v>222</v>
      </c>
      <c r="B145" t="s">
        <v>74</v>
      </c>
      <c r="C145" t="s">
        <v>223</v>
      </c>
      <c r="D145" t="s">
        <v>198</v>
      </c>
      <c r="E145" t="s">
        <v>34</v>
      </c>
      <c r="F145">
        <v>172800</v>
      </c>
      <c r="G145">
        <v>0</v>
      </c>
      <c r="H145">
        <v>0</v>
      </c>
      <c r="I145" t="s">
        <v>38</v>
      </c>
    </row>
    <row r="146" spans="1:9" hidden="1" x14ac:dyDescent="0.35">
      <c r="A146" t="s">
        <v>222</v>
      </c>
      <c r="B146" t="s">
        <v>74</v>
      </c>
      <c r="C146" t="s">
        <v>223</v>
      </c>
      <c r="D146" t="s">
        <v>198</v>
      </c>
      <c r="E146" t="s">
        <v>34</v>
      </c>
      <c r="F146">
        <v>200000</v>
      </c>
      <c r="G146">
        <v>0</v>
      </c>
      <c r="H146">
        <v>0</v>
      </c>
      <c r="I146" t="s">
        <v>38</v>
      </c>
    </row>
    <row r="147" spans="1:9" hidden="1" x14ac:dyDescent="0.35">
      <c r="A147" t="s">
        <v>222</v>
      </c>
      <c r="B147" t="s">
        <v>74</v>
      </c>
      <c r="C147" t="s">
        <v>223</v>
      </c>
      <c r="D147" t="s">
        <v>198</v>
      </c>
      <c r="E147" t="s">
        <v>34</v>
      </c>
      <c r="F147">
        <v>0</v>
      </c>
      <c r="G147">
        <v>0</v>
      </c>
      <c r="H147">
        <v>0</v>
      </c>
      <c r="I147" t="s">
        <v>38</v>
      </c>
    </row>
    <row r="148" spans="1:9" hidden="1" x14ac:dyDescent="0.35">
      <c r="A148" t="s">
        <v>224</v>
      </c>
      <c r="B148" t="s">
        <v>54</v>
      </c>
      <c r="C148" t="s">
        <v>225</v>
      </c>
      <c r="D148" t="s">
        <v>198</v>
      </c>
      <c r="E148" t="s">
        <v>34</v>
      </c>
      <c r="F148">
        <v>342600</v>
      </c>
      <c r="G148">
        <v>0</v>
      </c>
      <c r="H148">
        <v>0</v>
      </c>
      <c r="I148" t="s">
        <v>38</v>
      </c>
    </row>
    <row r="149" spans="1:9" hidden="1" x14ac:dyDescent="0.35">
      <c r="A149" t="s">
        <v>224</v>
      </c>
      <c r="B149" t="s">
        <v>54</v>
      </c>
      <c r="C149" t="s">
        <v>225</v>
      </c>
      <c r="D149" t="s">
        <v>198</v>
      </c>
      <c r="E149" t="s">
        <v>34</v>
      </c>
      <c r="F149">
        <v>1500000</v>
      </c>
      <c r="G149">
        <v>0</v>
      </c>
      <c r="H149">
        <v>0</v>
      </c>
      <c r="I149" t="s">
        <v>38</v>
      </c>
    </row>
    <row r="150" spans="1:9" hidden="1" x14ac:dyDescent="0.35">
      <c r="A150" t="s">
        <v>226</v>
      </c>
      <c r="B150" t="s">
        <v>51</v>
      </c>
      <c r="C150" t="s">
        <v>227</v>
      </c>
      <c r="D150" t="s">
        <v>198</v>
      </c>
      <c r="E150" t="s">
        <v>42</v>
      </c>
      <c r="F150">
        <v>201000</v>
      </c>
      <c r="G150">
        <v>0</v>
      </c>
      <c r="H150">
        <v>0</v>
      </c>
      <c r="I150" t="s">
        <v>38</v>
      </c>
    </row>
    <row r="151" spans="1:9" hidden="1" x14ac:dyDescent="0.35">
      <c r="A151" t="s">
        <v>226</v>
      </c>
      <c r="B151" t="s">
        <v>51</v>
      </c>
      <c r="C151" t="s">
        <v>227</v>
      </c>
      <c r="D151" t="s">
        <v>198</v>
      </c>
      <c r="E151" t="s">
        <v>42</v>
      </c>
      <c r="F151">
        <v>350000</v>
      </c>
      <c r="G151">
        <v>0</v>
      </c>
      <c r="H151">
        <v>0</v>
      </c>
      <c r="I151" t="s">
        <v>38</v>
      </c>
    </row>
    <row r="152" spans="1:9" hidden="1" x14ac:dyDescent="0.35">
      <c r="A152" t="s">
        <v>226</v>
      </c>
      <c r="B152" t="s">
        <v>51</v>
      </c>
      <c r="C152" t="s">
        <v>227</v>
      </c>
      <c r="D152" t="s">
        <v>198</v>
      </c>
      <c r="E152" t="s">
        <v>42</v>
      </c>
      <c r="F152">
        <v>25000</v>
      </c>
      <c r="G152">
        <v>0</v>
      </c>
      <c r="H152">
        <v>0</v>
      </c>
      <c r="I152" t="s">
        <v>38</v>
      </c>
    </row>
    <row r="153" spans="1:9" hidden="1" x14ac:dyDescent="0.35">
      <c r="A153" t="s">
        <v>226</v>
      </c>
      <c r="B153" t="s">
        <v>51</v>
      </c>
      <c r="C153" t="s">
        <v>227</v>
      </c>
      <c r="D153" t="s">
        <v>198</v>
      </c>
      <c r="E153" t="s">
        <v>42</v>
      </c>
      <c r="F153">
        <v>737300</v>
      </c>
      <c r="G153">
        <v>0</v>
      </c>
      <c r="H153">
        <v>0</v>
      </c>
      <c r="I153" t="s">
        <v>38</v>
      </c>
    </row>
    <row r="154" spans="1:9" hidden="1" x14ac:dyDescent="0.35">
      <c r="A154" t="s">
        <v>226</v>
      </c>
      <c r="B154" t="s">
        <v>51</v>
      </c>
      <c r="C154" t="s">
        <v>227</v>
      </c>
      <c r="D154" t="s">
        <v>198</v>
      </c>
      <c r="E154" t="s">
        <v>42</v>
      </c>
      <c r="F154">
        <v>274000</v>
      </c>
      <c r="G154">
        <v>0</v>
      </c>
      <c r="H154">
        <v>0</v>
      </c>
      <c r="I154" t="s">
        <v>38</v>
      </c>
    </row>
    <row r="155" spans="1:9" hidden="1" x14ac:dyDescent="0.35">
      <c r="A155" t="s">
        <v>226</v>
      </c>
      <c r="B155" t="s">
        <v>51</v>
      </c>
      <c r="C155" t="s">
        <v>227</v>
      </c>
      <c r="D155" t="s">
        <v>198</v>
      </c>
      <c r="E155" t="s">
        <v>42</v>
      </c>
      <c r="F155">
        <v>450000</v>
      </c>
      <c r="G155">
        <v>0</v>
      </c>
      <c r="H155">
        <v>0</v>
      </c>
      <c r="I155" t="s">
        <v>38</v>
      </c>
    </row>
    <row r="156" spans="1:9" hidden="1" x14ac:dyDescent="0.35">
      <c r="A156" t="s">
        <v>226</v>
      </c>
      <c r="B156" t="s">
        <v>51</v>
      </c>
      <c r="C156" t="s">
        <v>227</v>
      </c>
      <c r="D156" t="s">
        <v>198</v>
      </c>
      <c r="E156" t="s">
        <v>42</v>
      </c>
      <c r="F156">
        <v>100000</v>
      </c>
      <c r="G156">
        <v>0</v>
      </c>
      <c r="H156">
        <v>0</v>
      </c>
      <c r="I156" t="s">
        <v>38</v>
      </c>
    </row>
    <row r="157" spans="1:9" hidden="1" x14ac:dyDescent="0.35">
      <c r="A157" t="s">
        <v>226</v>
      </c>
      <c r="B157" t="s">
        <v>51</v>
      </c>
      <c r="C157" t="s">
        <v>227</v>
      </c>
      <c r="D157" t="s">
        <v>198</v>
      </c>
      <c r="E157" t="s">
        <v>42</v>
      </c>
      <c r="F157">
        <v>120000</v>
      </c>
      <c r="G157">
        <v>0</v>
      </c>
      <c r="H157">
        <v>0</v>
      </c>
      <c r="I157" t="s">
        <v>38</v>
      </c>
    </row>
    <row r="158" spans="1:9" hidden="1" x14ac:dyDescent="0.35">
      <c r="A158" t="s">
        <v>226</v>
      </c>
      <c r="B158" t="s">
        <v>51</v>
      </c>
      <c r="C158" t="s">
        <v>227</v>
      </c>
      <c r="D158" t="s">
        <v>198</v>
      </c>
      <c r="E158" t="s">
        <v>42</v>
      </c>
      <c r="F158">
        <v>1600000</v>
      </c>
      <c r="G158">
        <v>0</v>
      </c>
      <c r="H158">
        <v>0</v>
      </c>
      <c r="I158" t="s">
        <v>38</v>
      </c>
    </row>
    <row r="159" spans="1:9" hidden="1" x14ac:dyDescent="0.35">
      <c r="A159" t="s">
        <v>226</v>
      </c>
      <c r="B159" t="s">
        <v>51</v>
      </c>
      <c r="C159" t="s">
        <v>227</v>
      </c>
      <c r="D159" t="s">
        <v>198</v>
      </c>
      <c r="E159" t="s">
        <v>42</v>
      </c>
      <c r="F159">
        <v>250000</v>
      </c>
      <c r="G159">
        <v>0</v>
      </c>
      <c r="H159">
        <v>0</v>
      </c>
      <c r="I159" t="s">
        <v>38</v>
      </c>
    </row>
    <row r="160" spans="1:9" hidden="1" x14ac:dyDescent="0.35">
      <c r="A160" t="s">
        <v>226</v>
      </c>
      <c r="B160" t="s">
        <v>51</v>
      </c>
      <c r="C160" t="s">
        <v>227</v>
      </c>
      <c r="D160" t="s">
        <v>198</v>
      </c>
      <c r="E160" t="s">
        <v>42</v>
      </c>
      <c r="F160">
        <v>1000000</v>
      </c>
      <c r="G160">
        <v>0</v>
      </c>
      <c r="H160">
        <v>0</v>
      </c>
      <c r="I160" t="s">
        <v>38</v>
      </c>
    </row>
    <row r="161" spans="1:9" hidden="1" x14ac:dyDescent="0.35">
      <c r="A161" t="s">
        <v>226</v>
      </c>
      <c r="B161" t="s">
        <v>51</v>
      </c>
      <c r="C161" t="s">
        <v>227</v>
      </c>
      <c r="D161" t="s">
        <v>198</v>
      </c>
      <c r="E161" t="s">
        <v>42</v>
      </c>
      <c r="F161">
        <v>600000</v>
      </c>
      <c r="G161">
        <v>0</v>
      </c>
      <c r="H161">
        <v>0</v>
      </c>
      <c r="I161" t="s">
        <v>38</v>
      </c>
    </row>
    <row r="162" spans="1:9" hidden="1" x14ac:dyDescent="0.35">
      <c r="A162" t="s">
        <v>226</v>
      </c>
      <c r="B162" t="s">
        <v>51</v>
      </c>
      <c r="C162" t="s">
        <v>227</v>
      </c>
      <c r="D162" t="s">
        <v>198</v>
      </c>
      <c r="E162" t="s">
        <v>42</v>
      </c>
      <c r="F162">
        <v>100000</v>
      </c>
      <c r="G162">
        <v>0</v>
      </c>
      <c r="H162">
        <v>0</v>
      </c>
      <c r="I162" t="s">
        <v>38</v>
      </c>
    </row>
    <row r="163" spans="1:9" hidden="1" x14ac:dyDescent="0.35">
      <c r="A163" t="s">
        <v>226</v>
      </c>
      <c r="B163" t="s">
        <v>51</v>
      </c>
      <c r="C163" t="s">
        <v>227</v>
      </c>
      <c r="D163" t="s">
        <v>198</v>
      </c>
      <c r="E163" t="s">
        <v>42</v>
      </c>
      <c r="F163">
        <v>200000</v>
      </c>
      <c r="G163">
        <v>0</v>
      </c>
      <c r="H163">
        <v>0</v>
      </c>
      <c r="I163" t="s">
        <v>38</v>
      </c>
    </row>
    <row r="164" spans="1:9" hidden="1" x14ac:dyDescent="0.35">
      <c r="A164" t="s">
        <v>226</v>
      </c>
      <c r="B164" t="s">
        <v>51</v>
      </c>
      <c r="C164" t="s">
        <v>227</v>
      </c>
      <c r="D164" t="s">
        <v>198</v>
      </c>
      <c r="E164" t="s">
        <v>42</v>
      </c>
      <c r="F164">
        <v>200000</v>
      </c>
      <c r="G164">
        <v>0</v>
      </c>
      <c r="H164">
        <v>0</v>
      </c>
      <c r="I164" t="s">
        <v>38</v>
      </c>
    </row>
    <row r="165" spans="1:9" hidden="1" x14ac:dyDescent="0.35">
      <c r="A165" t="s">
        <v>226</v>
      </c>
      <c r="B165" t="s">
        <v>51</v>
      </c>
      <c r="C165" t="s">
        <v>227</v>
      </c>
      <c r="D165" t="s">
        <v>198</v>
      </c>
      <c r="E165" t="s">
        <v>42</v>
      </c>
      <c r="F165">
        <v>200000</v>
      </c>
      <c r="G165">
        <v>0</v>
      </c>
      <c r="H165">
        <v>0</v>
      </c>
      <c r="I165" t="s">
        <v>38</v>
      </c>
    </row>
    <row r="166" spans="1:9" hidden="1" x14ac:dyDescent="0.35">
      <c r="A166" t="s">
        <v>226</v>
      </c>
      <c r="B166" t="s">
        <v>51</v>
      </c>
      <c r="C166" t="s">
        <v>227</v>
      </c>
      <c r="D166" t="s">
        <v>198</v>
      </c>
      <c r="E166" t="s">
        <v>42</v>
      </c>
      <c r="F166">
        <v>300000</v>
      </c>
      <c r="G166">
        <v>0</v>
      </c>
      <c r="H166">
        <v>0</v>
      </c>
      <c r="I166" t="s">
        <v>38</v>
      </c>
    </row>
    <row r="167" spans="1:9" hidden="1" x14ac:dyDescent="0.35">
      <c r="A167" t="s">
        <v>226</v>
      </c>
      <c r="B167" t="s">
        <v>51</v>
      </c>
      <c r="C167" t="s">
        <v>227</v>
      </c>
      <c r="D167" t="s">
        <v>198</v>
      </c>
      <c r="E167" t="s">
        <v>42</v>
      </c>
      <c r="F167">
        <v>220100</v>
      </c>
      <c r="G167">
        <v>0</v>
      </c>
      <c r="H167">
        <v>0</v>
      </c>
      <c r="I167" t="s">
        <v>38</v>
      </c>
    </row>
    <row r="168" spans="1:9" x14ac:dyDescent="0.35">
      <c r="A168" t="s">
        <v>228</v>
      </c>
      <c r="B168" t="s">
        <v>68</v>
      </c>
      <c r="C168" t="s">
        <v>229</v>
      </c>
      <c r="D168" t="s">
        <v>198</v>
      </c>
      <c r="E168" t="s">
        <v>15</v>
      </c>
      <c r="F168">
        <v>300000</v>
      </c>
      <c r="G168">
        <v>0</v>
      </c>
      <c r="H168">
        <v>0</v>
      </c>
      <c r="I168" t="s">
        <v>39</v>
      </c>
    </row>
    <row r="169" spans="1:9" x14ac:dyDescent="0.35">
      <c r="A169" t="s">
        <v>228</v>
      </c>
      <c r="B169" t="s">
        <v>68</v>
      </c>
      <c r="C169" t="s">
        <v>229</v>
      </c>
      <c r="D169" t="s">
        <v>198</v>
      </c>
      <c r="E169" t="s">
        <v>12</v>
      </c>
      <c r="F169">
        <v>120000</v>
      </c>
      <c r="G169">
        <v>0</v>
      </c>
      <c r="H169">
        <v>0</v>
      </c>
      <c r="I169" t="s">
        <v>39</v>
      </c>
    </row>
    <row r="170" spans="1:9" x14ac:dyDescent="0.35">
      <c r="A170" t="s">
        <v>228</v>
      </c>
      <c r="B170" t="s">
        <v>68</v>
      </c>
      <c r="C170" t="s">
        <v>229</v>
      </c>
      <c r="D170" t="s">
        <v>198</v>
      </c>
      <c r="E170" t="s">
        <v>6</v>
      </c>
      <c r="F170">
        <v>110000</v>
      </c>
      <c r="G170">
        <v>0</v>
      </c>
      <c r="H170">
        <v>0</v>
      </c>
      <c r="I170" t="s">
        <v>39</v>
      </c>
    </row>
    <row r="171" spans="1:9" x14ac:dyDescent="0.35">
      <c r="A171" t="s">
        <v>228</v>
      </c>
      <c r="B171" t="s">
        <v>68</v>
      </c>
      <c r="C171" t="s">
        <v>229</v>
      </c>
      <c r="D171" t="s">
        <v>198</v>
      </c>
      <c r="E171" t="s">
        <v>11</v>
      </c>
      <c r="F171">
        <v>65000</v>
      </c>
      <c r="G171">
        <v>0</v>
      </c>
      <c r="H171">
        <v>0</v>
      </c>
      <c r="I171" t="s">
        <v>39</v>
      </c>
    </row>
    <row r="172" spans="1:9" x14ac:dyDescent="0.35">
      <c r="A172" t="s">
        <v>228</v>
      </c>
      <c r="B172" t="s">
        <v>68</v>
      </c>
      <c r="C172" t="s">
        <v>229</v>
      </c>
      <c r="D172" t="s">
        <v>198</v>
      </c>
      <c r="E172" t="s">
        <v>10</v>
      </c>
      <c r="F172">
        <v>60000</v>
      </c>
      <c r="G172">
        <v>0</v>
      </c>
      <c r="H172">
        <v>0</v>
      </c>
      <c r="I172" t="s">
        <v>39</v>
      </c>
    </row>
    <row r="173" spans="1:9" x14ac:dyDescent="0.35">
      <c r="A173" t="s">
        <v>228</v>
      </c>
      <c r="B173" t="s">
        <v>68</v>
      </c>
      <c r="C173" t="s">
        <v>229</v>
      </c>
      <c r="D173" t="s">
        <v>198</v>
      </c>
      <c r="E173" t="s">
        <v>14</v>
      </c>
      <c r="F173">
        <v>20000</v>
      </c>
      <c r="G173">
        <v>0</v>
      </c>
      <c r="H173">
        <v>0</v>
      </c>
      <c r="I173" t="s">
        <v>39</v>
      </c>
    </row>
    <row r="174" spans="1:9" x14ac:dyDescent="0.35">
      <c r="A174" t="s">
        <v>230</v>
      </c>
      <c r="B174" t="s">
        <v>68</v>
      </c>
      <c r="C174" t="s">
        <v>231</v>
      </c>
      <c r="D174" t="s">
        <v>198</v>
      </c>
      <c r="E174" t="s">
        <v>11</v>
      </c>
      <c r="F174">
        <v>8800000</v>
      </c>
      <c r="G174">
        <v>0</v>
      </c>
      <c r="H174">
        <v>0</v>
      </c>
      <c r="I174" t="s">
        <v>39</v>
      </c>
    </row>
    <row r="175" spans="1:9" x14ac:dyDescent="0.35">
      <c r="A175" t="s">
        <v>230</v>
      </c>
      <c r="B175" t="s">
        <v>68</v>
      </c>
      <c r="C175" t="s">
        <v>231</v>
      </c>
      <c r="D175" t="s">
        <v>198</v>
      </c>
      <c r="E175" t="s">
        <v>8</v>
      </c>
      <c r="F175">
        <v>250000</v>
      </c>
      <c r="G175">
        <v>0</v>
      </c>
      <c r="H175">
        <v>0</v>
      </c>
      <c r="I175" t="s">
        <v>39</v>
      </c>
    </row>
    <row r="176" spans="1:9" hidden="1" x14ac:dyDescent="0.35">
      <c r="A176" t="s">
        <v>206</v>
      </c>
      <c r="B176" t="s">
        <v>58</v>
      </c>
      <c r="C176" t="s">
        <v>207</v>
      </c>
      <c r="D176" t="s">
        <v>199</v>
      </c>
      <c r="E176" t="s">
        <v>26</v>
      </c>
      <c r="F176">
        <v>46940</v>
      </c>
      <c r="G176">
        <v>1000</v>
      </c>
      <c r="H176">
        <v>0</v>
      </c>
      <c r="I176" t="s">
        <v>36</v>
      </c>
    </row>
    <row r="177" spans="1:9" x14ac:dyDescent="0.35">
      <c r="A177" t="s">
        <v>232</v>
      </c>
      <c r="B177" t="s">
        <v>68</v>
      </c>
      <c r="C177" t="s">
        <v>233</v>
      </c>
      <c r="D177" t="s">
        <v>199</v>
      </c>
      <c r="E177" t="s">
        <v>24</v>
      </c>
      <c r="F177">
        <v>18000</v>
      </c>
      <c r="G177">
        <v>4500</v>
      </c>
      <c r="H177">
        <v>0</v>
      </c>
      <c r="I177" t="s">
        <v>39</v>
      </c>
    </row>
    <row r="178" spans="1:9" x14ac:dyDescent="0.35">
      <c r="A178" t="s">
        <v>232</v>
      </c>
      <c r="B178" t="s">
        <v>68</v>
      </c>
      <c r="C178" t="s">
        <v>233</v>
      </c>
      <c r="D178" t="s">
        <v>199</v>
      </c>
      <c r="E178" t="s">
        <v>25</v>
      </c>
      <c r="F178">
        <v>72000</v>
      </c>
      <c r="G178">
        <v>18000</v>
      </c>
      <c r="H178">
        <v>0</v>
      </c>
      <c r="I178" t="s">
        <v>39</v>
      </c>
    </row>
    <row r="179" spans="1:9" x14ac:dyDescent="0.35">
      <c r="A179" t="s">
        <v>232</v>
      </c>
      <c r="B179" t="s">
        <v>68</v>
      </c>
      <c r="C179" t="s">
        <v>233</v>
      </c>
      <c r="D179" t="s">
        <v>199</v>
      </c>
      <c r="E179" t="s">
        <v>26</v>
      </c>
      <c r="F179">
        <v>72000</v>
      </c>
      <c r="G179">
        <v>18000</v>
      </c>
      <c r="H179">
        <v>0</v>
      </c>
      <c r="I179" t="s">
        <v>39</v>
      </c>
    </row>
    <row r="180" spans="1:9" x14ac:dyDescent="0.35">
      <c r="A180" t="s">
        <v>232</v>
      </c>
      <c r="B180" t="s">
        <v>68</v>
      </c>
      <c r="C180" t="s">
        <v>233</v>
      </c>
      <c r="D180" t="s">
        <v>199</v>
      </c>
      <c r="E180" t="s">
        <v>30</v>
      </c>
      <c r="F180">
        <v>90000</v>
      </c>
      <c r="G180">
        <v>22500</v>
      </c>
      <c r="H180">
        <v>0</v>
      </c>
      <c r="I180" t="s">
        <v>39</v>
      </c>
    </row>
    <row r="181" spans="1:9" x14ac:dyDescent="0.35">
      <c r="A181" t="s">
        <v>232</v>
      </c>
      <c r="B181" t="s">
        <v>68</v>
      </c>
      <c r="C181" t="s">
        <v>233</v>
      </c>
      <c r="D181" t="s">
        <v>199</v>
      </c>
      <c r="E181" t="s">
        <v>20</v>
      </c>
      <c r="F181">
        <v>36000</v>
      </c>
      <c r="G181">
        <v>9000</v>
      </c>
      <c r="H181">
        <v>0</v>
      </c>
      <c r="I181" t="s">
        <v>39</v>
      </c>
    </row>
    <row r="182" spans="1:9" x14ac:dyDescent="0.35">
      <c r="A182" t="s">
        <v>234</v>
      </c>
      <c r="B182" t="s">
        <v>68</v>
      </c>
      <c r="C182" t="s">
        <v>235</v>
      </c>
      <c r="D182" t="s">
        <v>198</v>
      </c>
      <c r="E182" t="s">
        <v>6</v>
      </c>
      <c r="F182">
        <v>70000</v>
      </c>
      <c r="G182">
        <v>17500</v>
      </c>
      <c r="H182">
        <v>0</v>
      </c>
      <c r="I182" t="s">
        <v>39</v>
      </c>
    </row>
    <row r="183" spans="1:9" hidden="1" x14ac:dyDescent="0.35">
      <c r="A183" t="s">
        <v>212</v>
      </c>
      <c r="B183" t="s">
        <v>72</v>
      </c>
      <c r="C183" t="s">
        <v>213</v>
      </c>
      <c r="D183" t="s">
        <v>199</v>
      </c>
      <c r="E183" t="s">
        <v>30</v>
      </c>
      <c r="F183">
        <v>21700</v>
      </c>
      <c r="G183">
        <v>3000</v>
      </c>
      <c r="H183">
        <v>2990</v>
      </c>
      <c r="I183" t="s">
        <v>38</v>
      </c>
    </row>
    <row r="184" spans="1:9" hidden="1" x14ac:dyDescent="0.35">
      <c r="A184" t="s">
        <v>212</v>
      </c>
      <c r="B184" t="s">
        <v>72</v>
      </c>
      <c r="C184" t="s">
        <v>213</v>
      </c>
      <c r="D184" t="s">
        <v>199</v>
      </c>
      <c r="E184" t="s">
        <v>32</v>
      </c>
      <c r="F184">
        <v>10000</v>
      </c>
      <c r="G184">
        <v>10000</v>
      </c>
      <c r="H184">
        <v>8220</v>
      </c>
      <c r="I184" t="s">
        <v>38</v>
      </c>
    </row>
    <row r="185" spans="1:9" hidden="1" x14ac:dyDescent="0.35">
      <c r="A185" t="s">
        <v>236</v>
      </c>
      <c r="B185" t="s">
        <v>71</v>
      </c>
      <c r="C185" t="s">
        <v>237</v>
      </c>
      <c r="D185" t="s">
        <v>198</v>
      </c>
      <c r="E185" t="s">
        <v>34</v>
      </c>
      <c r="F185">
        <v>200000</v>
      </c>
      <c r="G185">
        <v>10000</v>
      </c>
      <c r="H185">
        <v>8700</v>
      </c>
      <c r="I185" t="s">
        <v>38</v>
      </c>
    </row>
    <row r="186" spans="1:9" hidden="1" x14ac:dyDescent="0.35">
      <c r="A186" t="s">
        <v>220</v>
      </c>
      <c r="B186" t="s">
        <v>73</v>
      </c>
      <c r="C186" t="s">
        <v>221</v>
      </c>
      <c r="D186" t="s">
        <v>198</v>
      </c>
      <c r="E186" t="s">
        <v>34</v>
      </c>
      <c r="F186">
        <v>1000000</v>
      </c>
      <c r="G186">
        <v>200000</v>
      </c>
      <c r="H186">
        <v>158873.67000000001</v>
      </c>
      <c r="I186" t="s">
        <v>38</v>
      </c>
    </row>
    <row r="187" spans="1:9" hidden="1" x14ac:dyDescent="0.35">
      <c r="A187" t="s">
        <v>222</v>
      </c>
      <c r="B187" t="s">
        <v>74</v>
      </c>
      <c r="C187" t="s">
        <v>223</v>
      </c>
      <c r="D187" t="s">
        <v>198</v>
      </c>
      <c r="E187" t="s">
        <v>34</v>
      </c>
      <c r="F187">
        <v>19827200</v>
      </c>
      <c r="G187">
        <v>1000000</v>
      </c>
      <c r="H187">
        <v>863257.14</v>
      </c>
      <c r="I187" t="s">
        <v>38</v>
      </c>
    </row>
    <row r="188" spans="1:9" x14ac:dyDescent="0.35">
      <c r="A188" t="s">
        <v>238</v>
      </c>
      <c r="B188" t="s">
        <v>70</v>
      </c>
      <c r="C188" t="s">
        <v>239</v>
      </c>
      <c r="D188" t="s">
        <v>198</v>
      </c>
      <c r="E188" t="s">
        <v>13</v>
      </c>
      <c r="F188">
        <v>200000000</v>
      </c>
      <c r="G188">
        <v>50000000</v>
      </c>
      <c r="H188">
        <v>68409189.150000006</v>
      </c>
      <c r="I188" t="s">
        <v>39</v>
      </c>
    </row>
    <row r="189" spans="1:9" x14ac:dyDescent="0.35">
      <c r="A189" t="s">
        <v>240</v>
      </c>
      <c r="B189" t="s">
        <v>69</v>
      </c>
      <c r="C189" t="s">
        <v>241</v>
      </c>
      <c r="D189" t="s">
        <v>198</v>
      </c>
      <c r="E189" t="s">
        <v>12</v>
      </c>
      <c r="F189">
        <v>41770000</v>
      </c>
      <c r="G189">
        <v>10000000</v>
      </c>
      <c r="H189">
        <v>9687245</v>
      </c>
      <c r="I189" t="s">
        <v>39</v>
      </c>
    </row>
    <row r="190" spans="1:9" x14ac:dyDescent="0.35">
      <c r="A190" t="s">
        <v>242</v>
      </c>
      <c r="B190" t="s">
        <v>69</v>
      </c>
      <c r="C190" t="s">
        <v>243</v>
      </c>
      <c r="D190" t="s">
        <v>198</v>
      </c>
      <c r="E190" t="s">
        <v>12</v>
      </c>
      <c r="F190">
        <v>46900000</v>
      </c>
      <c r="G190">
        <v>11700000</v>
      </c>
      <c r="H190">
        <v>10285205</v>
      </c>
      <c r="I190" t="s">
        <v>39</v>
      </c>
    </row>
    <row r="191" spans="1:9" x14ac:dyDescent="0.35">
      <c r="A191" t="s">
        <v>242</v>
      </c>
      <c r="B191" t="s">
        <v>69</v>
      </c>
      <c r="C191" t="s">
        <v>243</v>
      </c>
      <c r="D191" t="s">
        <v>198</v>
      </c>
      <c r="E191" t="s">
        <v>12</v>
      </c>
      <c r="F191">
        <v>2300000</v>
      </c>
      <c r="G191">
        <v>575000</v>
      </c>
      <c r="H191">
        <v>596800</v>
      </c>
      <c r="I191" t="s">
        <v>39</v>
      </c>
    </row>
    <row r="192" spans="1:9" x14ac:dyDescent="0.35">
      <c r="A192" t="s">
        <v>244</v>
      </c>
      <c r="B192" t="s">
        <v>67</v>
      </c>
      <c r="C192" t="s">
        <v>245</v>
      </c>
      <c r="D192" t="s">
        <v>198</v>
      </c>
      <c r="E192" t="s">
        <v>5</v>
      </c>
      <c r="F192">
        <v>19209400</v>
      </c>
      <c r="G192">
        <v>5951700</v>
      </c>
      <c r="H192">
        <v>5947690.6299999999</v>
      </c>
      <c r="I192" t="s">
        <v>39</v>
      </c>
    </row>
    <row r="193" spans="1:9" x14ac:dyDescent="0.35">
      <c r="A193" t="s">
        <v>244</v>
      </c>
      <c r="B193" t="s">
        <v>67</v>
      </c>
      <c r="C193" t="s">
        <v>245</v>
      </c>
      <c r="D193" t="s">
        <v>199</v>
      </c>
      <c r="E193" t="s">
        <v>24</v>
      </c>
      <c r="G193">
        <v>0</v>
      </c>
      <c r="H193">
        <v>15.47</v>
      </c>
      <c r="I193" t="s">
        <v>39</v>
      </c>
    </row>
    <row r="194" spans="1:9" x14ac:dyDescent="0.35">
      <c r="A194" t="s">
        <v>244</v>
      </c>
      <c r="B194" t="s">
        <v>67</v>
      </c>
      <c r="C194" t="s">
        <v>245</v>
      </c>
      <c r="D194" t="s">
        <v>199</v>
      </c>
      <c r="E194" t="s">
        <v>19</v>
      </c>
      <c r="G194">
        <v>0</v>
      </c>
      <c r="H194">
        <v>774.91</v>
      </c>
      <c r="I194" t="s">
        <v>39</v>
      </c>
    </row>
    <row r="195" spans="1:9" x14ac:dyDescent="0.35">
      <c r="A195" t="s">
        <v>244</v>
      </c>
      <c r="B195" t="s">
        <v>67</v>
      </c>
      <c r="C195" t="s">
        <v>245</v>
      </c>
      <c r="D195" t="s">
        <v>199</v>
      </c>
      <c r="E195" t="s">
        <v>25</v>
      </c>
      <c r="G195">
        <v>0</v>
      </c>
      <c r="H195">
        <v>178.44</v>
      </c>
      <c r="I195" t="s">
        <v>39</v>
      </c>
    </row>
    <row r="196" spans="1:9" x14ac:dyDescent="0.35">
      <c r="A196" t="s">
        <v>244</v>
      </c>
      <c r="B196" t="s">
        <v>67</v>
      </c>
      <c r="C196" t="s">
        <v>245</v>
      </c>
      <c r="D196" t="s">
        <v>199</v>
      </c>
      <c r="E196" t="s">
        <v>30</v>
      </c>
      <c r="G196">
        <v>0</v>
      </c>
      <c r="H196">
        <v>717.32</v>
      </c>
      <c r="I196" t="s">
        <v>39</v>
      </c>
    </row>
    <row r="197" spans="1:9" x14ac:dyDescent="0.35">
      <c r="A197" t="s">
        <v>244</v>
      </c>
      <c r="B197" t="s">
        <v>67</v>
      </c>
      <c r="C197" t="s">
        <v>245</v>
      </c>
      <c r="D197" t="s">
        <v>199</v>
      </c>
      <c r="E197" t="s">
        <v>35</v>
      </c>
      <c r="G197">
        <v>0</v>
      </c>
      <c r="H197">
        <v>224.41</v>
      </c>
      <c r="I197" t="s">
        <v>39</v>
      </c>
    </row>
    <row r="198" spans="1:9" x14ac:dyDescent="0.35">
      <c r="A198" t="s">
        <v>244</v>
      </c>
      <c r="B198" t="s">
        <v>67</v>
      </c>
      <c r="C198" t="s">
        <v>245</v>
      </c>
      <c r="D198" t="s">
        <v>199</v>
      </c>
      <c r="E198" t="s">
        <v>22</v>
      </c>
      <c r="G198">
        <v>0</v>
      </c>
      <c r="H198">
        <v>35.770000000000003</v>
      </c>
      <c r="I198" t="s">
        <v>39</v>
      </c>
    </row>
    <row r="199" spans="1:9" x14ac:dyDescent="0.35">
      <c r="A199" t="s">
        <v>244</v>
      </c>
      <c r="B199" t="s">
        <v>67</v>
      </c>
      <c r="C199" t="s">
        <v>245</v>
      </c>
      <c r="D199" t="s">
        <v>199</v>
      </c>
      <c r="E199" t="s">
        <v>21</v>
      </c>
      <c r="G199">
        <v>0</v>
      </c>
      <c r="H199">
        <v>225.18</v>
      </c>
      <c r="I199" t="s">
        <v>39</v>
      </c>
    </row>
    <row r="200" spans="1:9" x14ac:dyDescent="0.35">
      <c r="A200" t="s">
        <v>244</v>
      </c>
      <c r="B200" t="s">
        <v>67</v>
      </c>
      <c r="C200" t="s">
        <v>245</v>
      </c>
      <c r="D200" t="s">
        <v>199</v>
      </c>
      <c r="E200" t="s">
        <v>18</v>
      </c>
      <c r="G200">
        <v>0</v>
      </c>
      <c r="H200">
        <v>581.80999999999995</v>
      </c>
      <c r="I200" t="s">
        <v>39</v>
      </c>
    </row>
    <row r="201" spans="1:9" x14ac:dyDescent="0.35">
      <c r="A201" t="s">
        <v>244</v>
      </c>
      <c r="B201" t="s">
        <v>67</v>
      </c>
      <c r="C201" t="s">
        <v>245</v>
      </c>
      <c r="D201" t="s">
        <v>199</v>
      </c>
      <c r="E201" t="s">
        <v>23</v>
      </c>
      <c r="G201">
        <v>0</v>
      </c>
      <c r="H201">
        <v>209.78</v>
      </c>
      <c r="I201" t="s">
        <v>39</v>
      </c>
    </row>
    <row r="202" spans="1:9" x14ac:dyDescent="0.35">
      <c r="A202" t="s">
        <v>244</v>
      </c>
      <c r="B202" t="s">
        <v>67</v>
      </c>
      <c r="C202" t="s">
        <v>245</v>
      </c>
      <c r="D202" t="s">
        <v>199</v>
      </c>
      <c r="E202" t="s">
        <v>20</v>
      </c>
      <c r="G202">
        <v>0</v>
      </c>
      <c r="H202">
        <v>227.37</v>
      </c>
      <c r="I202" t="s">
        <v>39</v>
      </c>
    </row>
    <row r="203" spans="1:9" x14ac:dyDescent="0.35">
      <c r="A203" t="s">
        <v>244</v>
      </c>
      <c r="B203" t="s">
        <v>67</v>
      </c>
      <c r="C203" t="s">
        <v>245</v>
      </c>
      <c r="D203" t="s">
        <v>199</v>
      </c>
      <c r="E203" t="s">
        <v>31</v>
      </c>
      <c r="G203">
        <v>0</v>
      </c>
      <c r="H203">
        <v>289.33</v>
      </c>
      <c r="I203" t="s">
        <v>39</v>
      </c>
    </row>
    <row r="204" spans="1:9" x14ac:dyDescent="0.35">
      <c r="A204" t="s">
        <v>244</v>
      </c>
      <c r="B204" t="s">
        <v>67</v>
      </c>
      <c r="C204" t="s">
        <v>245</v>
      </c>
      <c r="D204" t="s">
        <v>199</v>
      </c>
      <c r="E204" t="s">
        <v>17</v>
      </c>
      <c r="G204">
        <v>0</v>
      </c>
      <c r="H204">
        <v>13.44</v>
      </c>
      <c r="I204" t="s">
        <v>39</v>
      </c>
    </row>
    <row r="205" spans="1:9" x14ac:dyDescent="0.35">
      <c r="A205" t="s">
        <v>244</v>
      </c>
      <c r="B205" t="s">
        <v>67</v>
      </c>
      <c r="C205" t="s">
        <v>245</v>
      </c>
      <c r="D205" t="s">
        <v>199</v>
      </c>
      <c r="E205" t="s">
        <v>29</v>
      </c>
      <c r="G205">
        <v>0</v>
      </c>
      <c r="H205">
        <v>21.28</v>
      </c>
      <c r="I205" t="s">
        <v>39</v>
      </c>
    </row>
    <row r="206" spans="1:9" x14ac:dyDescent="0.35">
      <c r="A206" t="s">
        <v>244</v>
      </c>
      <c r="B206" t="s">
        <v>67</v>
      </c>
      <c r="C206" t="s">
        <v>245</v>
      </c>
      <c r="D206" t="s">
        <v>199</v>
      </c>
      <c r="E206" t="s">
        <v>27</v>
      </c>
      <c r="G206">
        <v>0</v>
      </c>
      <c r="H206">
        <v>437.15</v>
      </c>
      <c r="I206" t="s">
        <v>39</v>
      </c>
    </row>
    <row r="207" spans="1:9" x14ac:dyDescent="0.35">
      <c r="A207" t="s">
        <v>244</v>
      </c>
      <c r="B207" t="s">
        <v>67</v>
      </c>
      <c r="C207" t="s">
        <v>245</v>
      </c>
      <c r="D207" t="s">
        <v>199</v>
      </c>
      <c r="E207" t="s">
        <v>33</v>
      </c>
      <c r="G207">
        <v>0</v>
      </c>
      <c r="H207">
        <v>92.69</v>
      </c>
      <c r="I207" t="s">
        <v>39</v>
      </c>
    </row>
    <row r="208" spans="1:9" x14ac:dyDescent="0.35">
      <c r="A208" t="s">
        <v>244</v>
      </c>
      <c r="B208" t="s">
        <v>67</v>
      </c>
      <c r="C208" t="s">
        <v>245</v>
      </c>
      <c r="D208" t="s">
        <v>199</v>
      </c>
      <c r="E208" t="s">
        <v>28</v>
      </c>
      <c r="G208">
        <v>0</v>
      </c>
      <c r="H208">
        <v>14.31</v>
      </c>
      <c r="I208" t="s">
        <v>39</v>
      </c>
    </row>
    <row r="209" spans="1:9" x14ac:dyDescent="0.35">
      <c r="A209" t="s">
        <v>246</v>
      </c>
      <c r="B209" t="s">
        <v>66</v>
      </c>
      <c r="C209" t="s">
        <v>247</v>
      </c>
      <c r="D209" t="s">
        <v>198</v>
      </c>
      <c r="E209" t="s">
        <v>7</v>
      </c>
      <c r="F209">
        <v>11200700</v>
      </c>
      <c r="G209">
        <v>2800000</v>
      </c>
      <c r="H209">
        <v>3565360</v>
      </c>
      <c r="I209" t="s">
        <v>39</v>
      </c>
    </row>
    <row r="210" spans="1:9" x14ac:dyDescent="0.35">
      <c r="A210" t="s">
        <v>228</v>
      </c>
      <c r="B210" t="s">
        <v>68</v>
      </c>
      <c r="C210" t="s">
        <v>229</v>
      </c>
      <c r="D210" t="s">
        <v>198</v>
      </c>
      <c r="E210" t="s">
        <v>7</v>
      </c>
      <c r="F210">
        <v>9396000</v>
      </c>
      <c r="G210">
        <v>2349000</v>
      </c>
      <c r="H210">
        <v>2917255</v>
      </c>
      <c r="I210" t="s">
        <v>39</v>
      </c>
    </row>
    <row r="211" spans="1:9" x14ac:dyDescent="0.35">
      <c r="A211" t="s">
        <v>248</v>
      </c>
      <c r="B211" t="s">
        <v>68</v>
      </c>
      <c r="C211" t="s">
        <v>249</v>
      </c>
      <c r="D211" t="s">
        <v>198</v>
      </c>
      <c r="E211" t="s">
        <v>11</v>
      </c>
      <c r="F211">
        <v>8230000</v>
      </c>
      <c r="G211">
        <v>2057500</v>
      </c>
      <c r="H211">
        <v>3293850</v>
      </c>
      <c r="I211" t="s">
        <v>39</v>
      </c>
    </row>
    <row r="212" spans="1:9" x14ac:dyDescent="0.35">
      <c r="A212" t="s">
        <v>250</v>
      </c>
      <c r="B212" t="s">
        <v>68</v>
      </c>
      <c r="C212" t="s">
        <v>251</v>
      </c>
      <c r="D212" t="s">
        <v>198</v>
      </c>
      <c r="E212" t="s">
        <v>14</v>
      </c>
      <c r="F212">
        <v>18900</v>
      </c>
      <c r="G212">
        <v>4700</v>
      </c>
      <c r="H212">
        <v>2250</v>
      </c>
      <c r="I212" t="s">
        <v>39</v>
      </c>
    </row>
    <row r="213" spans="1:9" x14ac:dyDescent="0.35">
      <c r="A213" t="s">
        <v>250</v>
      </c>
      <c r="B213" t="s">
        <v>68</v>
      </c>
      <c r="C213" t="s">
        <v>251</v>
      </c>
      <c r="D213" t="s">
        <v>198</v>
      </c>
      <c r="E213" t="s">
        <v>11</v>
      </c>
      <c r="G213">
        <v>0</v>
      </c>
      <c r="H213">
        <v>1065</v>
      </c>
      <c r="I213" t="s">
        <v>39</v>
      </c>
    </row>
    <row r="214" spans="1:9" x14ac:dyDescent="0.35">
      <c r="A214" t="s">
        <v>250</v>
      </c>
      <c r="B214" t="s">
        <v>68</v>
      </c>
      <c r="C214" t="s">
        <v>251</v>
      </c>
      <c r="D214" t="s">
        <v>199</v>
      </c>
      <c r="E214" t="s">
        <v>25</v>
      </c>
      <c r="G214">
        <v>0</v>
      </c>
      <c r="H214">
        <v>150</v>
      </c>
      <c r="I214" t="s">
        <v>39</v>
      </c>
    </row>
    <row r="215" spans="1:9" x14ac:dyDescent="0.35">
      <c r="A215" t="s">
        <v>250</v>
      </c>
      <c r="B215" t="s">
        <v>68</v>
      </c>
      <c r="C215" t="s">
        <v>251</v>
      </c>
      <c r="D215" t="s">
        <v>198</v>
      </c>
      <c r="E215" t="s">
        <v>34</v>
      </c>
      <c r="G215">
        <v>0</v>
      </c>
      <c r="H215">
        <v>2100</v>
      </c>
      <c r="I215" t="s">
        <v>39</v>
      </c>
    </row>
    <row r="216" spans="1:9" x14ac:dyDescent="0.35">
      <c r="A216" t="s">
        <v>250</v>
      </c>
      <c r="B216" t="s">
        <v>68</v>
      </c>
      <c r="C216" t="s">
        <v>251</v>
      </c>
      <c r="D216" t="s">
        <v>199</v>
      </c>
      <c r="E216" t="s">
        <v>21</v>
      </c>
      <c r="G216">
        <v>0</v>
      </c>
      <c r="H216">
        <v>50</v>
      </c>
      <c r="I216" t="s">
        <v>39</v>
      </c>
    </row>
    <row r="217" spans="1:9" x14ac:dyDescent="0.35">
      <c r="A217" t="s">
        <v>232</v>
      </c>
      <c r="B217" t="s">
        <v>68</v>
      </c>
      <c r="C217" t="s">
        <v>233</v>
      </c>
      <c r="D217" t="s">
        <v>198</v>
      </c>
      <c r="E217" t="s">
        <v>12</v>
      </c>
      <c r="F217">
        <v>750000</v>
      </c>
      <c r="G217">
        <v>187500</v>
      </c>
      <c r="H217">
        <v>204000</v>
      </c>
      <c r="I217" t="s">
        <v>39</v>
      </c>
    </row>
    <row r="218" spans="1:9" x14ac:dyDescent="0.35">
      <c r="A218" t="s">
        <v>232</v>
      </c>
      <c r="B218" t="s">
        <v>68</v>
      </c>
      <c r="C218" t="s">
        <v>233</v>
      </c>
      <c r="D218" t="s">
        <v>199</v>
      </c>
      <c r="E218" t="s">
        <v>19</v>
      </c>
      <c r="F218">
        <v>54000</v>
      </c>
      <c r="G218">
        <v>13500</v>
      </c>
      <c r="H218">
        <v>36000</v>
      </c>
      <c r="I218" t="s">
        <v>39</v>
      </c>
    </row>
    <row r="219" spans="1:9" x14ac:dyDescent="0.35">
      <c r="A219" t="s">
        <v>232</v>
      </c>
      <c r="B219" t="s">
        <v>68</v>
      </c>
      <c r="C219" t="s">
        <v>233</v>
      </c>
      <c r="D219" t="s">
        <v>199</v>
      </c>
      <c r="E219" t="s">
        <v>35</v>
      </c>
      <c r="F219">
        <v>90000</v>
      </c>
      <c r="G219">
        <v>22500</v>
      </c>
      <c r="H219">
        <v>45000</v>
      </c>
      <c r="I219" t="s">
        <v>39</v>
      </c>
    </row>
    <row r="220" spans="1:9" x14ac:dyDescent="0.35">
      <c r="A220" t="s">
        <v>232</v>
      </c>
      <c r="B220" t="s">
        <v>68</v>
      </c>
      <c r="C220" t="s">
        <v>233</v>
      </c>
      <c r="D220" t="s">
        <v>199</v>
      </c>
      <c r="E220" t="s">
        <v>22</v>
      </c>
      <c r="F220">
        <v>54000</v>
      </c>
      <c r="G220">
        <v>13500</v>
      </c>
      <c r="H220">
        <v>2000</v>
      </c>
      <c r="I220" t="s">
        <v>39</v>
      </c>
    </row>
    <row r="221" spans="1:9" x14ac:dyDescent="0.35">
      <c r="A221" t="s">
        <v>232</v>
      </c>
      <c r="B221" t="s">
        <v>68</v>
      </c>
      <c r="C221" t="s">
        <v>233</v>
      </c>
      <c r="D221" t="s">
        <v>199</v>
      </c>
      <c r="E221" t="s">
        <v>21</v>
      </c>
      <c r="F221">
        <v>54000</v>
      </c>
      <c r="G221">
        <v>13500</v>
      </c>
      <c r="H221">
        <v>18500</v>
      </c>
      <c r="I221" t="s">
        <v>39</v>
      </c>
    </row>
    <row r="222" spans="1:9" x14ac:dyDescent="0.35">
      <c r="A222" t="s">
        <v>232</v>
      </c>
      <c r="B222" t="s">
        <v>68</v>
      </c>
      <c r="C222" t="s">
        <v>233</v>
      </c>
      <c r="D222" t="s">
        <v>199</v>
      </c>
      <c r="E222" t="s">
        <v>18</v>
      </c>
      <c r="F222">
        <v>90000</v>
      </c>
      <c r="G222">
        <v>22500</v>
      </c>
      <c r="H222">
        <v>107000</v>
      </c>
      <c r="I222" t="s">
        <v>39</v>
      </c>
    </row>
    <row r="223" spans="1:9" x14ac:dyDescent="0.35">
      <c r="A223" t="s">
        <v>232</v>
      </c>
      <c r="B223" t="s">
        <v>68</v>
      </c>
      <c r="C223" t="s">
        <v>233</v>
      </c>
      <c r="D223" t="s">
        <v>199</v>
      </c>
      <c r="E223" t="s">
        <v>23</v>
      </c>
      <c r="F223">
        <v>72000</v>
      </c>
      <c r="G223">
        <v>18000</v>
      </c>
      <c r="H223">
        <v>17000</v>
      </c>
      <c r="I223" t="s">
        <v>39</v>
      </c>
    </row>
    <row r="224" spans="1:9" x14ac:dyDescent="0.35">
      <c r="A224" t="s">
        <v>232</v>
      </c>
      <c r="B224" t="s">
        <v>68</v>
      </c>
      <c r="C224" t="s">
        <v>233</v>
      </c>
      <c r="D224" t="s">
        <v>199</v>
      </c>
      <c r="E224" t="s">
        <v>32</v>
      </c>
      <c r="F224">
        <v>54000</v>
      </c>
      <c r="G224">
        <v>13500</v>
      </c>
      <c r="H224">
        <v>15000</v>
      </c>
      <c r="I224" t="s">
        <v>39</v>
      </c>
    </row>
    <row r="225" spans="1:9" x14ac:dyDescent="0.35">
      <c r="A225" t="s">
        <v>232</v>
      </c>
      <c r="B225" t="s">
        <v>68</v>
      </c>
      <c r="C225" t="s">
        <v>233</v>
      </c>
      <c r="D225" t="s">
        <v>199</v>
      </c>
      <c r="E225" t="s">
        <v>31</v>
      </c>
      <c r="F225">
        <v>72000</v>
      </c>
      <c r="G225">
        <v>18000</v>
      </c>
      <c r="H225">
        <v>30000</v>
      </c>
      <c r="I225" t="s">
        <v>39</v>
      </c>
    </row>
    <row r="226" spans="1:9" x14ac:dyDescent="0.35">
      <c r="A226" t="s">
        <v>232</v>
      </c>
      <c r="B226" t="s">
        <v>68</v>
      </c>
      <c r="C226" t="s">
        <v>233</v>
      </c>
      <c r="D226" t="s">
        <v>199</v>
      </c>
      <c r="E226" t="s">
        <v>27</v>
      </c>
      <c r="F226">
        <v>72000</v>
      </c>
      <c r="G226">
        <v>18000</v>
      </c>
      <c r="H226">
        <v>42000</v>
      </c>
      <c r="I226" t="s">
        <v>39</v>
      </c>
    </row>
    <row r="227" spans="1:9" x14ac:dyDescent="0.35">
      <c r="A227" t="s">
        <v>252</v>
      </c>
      <c r="B227" t="s">
        <v>68</v>
      </c>
      <c r="C227" t="s">
        <v>253</v>
      </c>
      <c r="D227" t="s">
        <v>199</v>
      </c>
      <c r="E227" t="s">
        <v>24</v>
      </c>
      <c r="F227">
        <v>87500</v>
      </c>
      <c r="G227">
        <v>21000</v>
      </c>
      <c r="H227">
        <v>12500</v>
      </c>
      <c r="I227" t="s">
        <v>39</v>
      </c>
    </row>
    <row r="228" spans="1:9" x14ac:dyDescent="0.35">
      <c r="A228" t="s">
        <v>252</v>
      </c>
      <c r="B228" t="s">
        <v>68</v>
      </c>
      <c r="C228" t="s">
        <v>253</v>
      </c>
      <c r="D228" t="s">
        <v>199</v>
      </c>
      <c r="E228" t="s">
        <v>19</v>
      </c>
      <c r="F228">
        <v>431200</v>
      </c>
      <c r="G228">
        <v>107000</v>
      </c>
      <c r="H228">
        <v>97500</v>
      </c>
      <c r="I228" t="s">
        <v>39</v>
      </c>
    </row>
    <row r="229" spans="1:9" x14ac:dyDescent="0.35">
      <c r="A229" t="s">
        <v>252</v>
      </c>
      <c r="B229" t="s">
        <v>68</v>
      </c>
      <c r="C229" t="s">
        <v>253</v>
      </c>
      <c r="D229" t="s">
        <v>199</v>
      </c>
      <c r="E229" t="s">
        <v>25</v>
      </c>
      <c r="F229">
        <v>612500</v>
      </c>
      <c r="G229">
        <v>153000</v>
      </c>
      <c r="H229">
        <v>35550</v>
      </c>
      <c r="I229" t="s">
        <v>39</v>
      </c>
    </row>
    <row r="230" spans="1:9" x14ac:dyDescent="0.35">
      <c r="A230" t="s">
        <v>252</v>
      </c>
      <c r="B230" t="s">
        <v>68</v>
      </c>
      <c r="C230" t="s">
        <v>253</v>
      </c>
      <c r="D230" t="s">
        <v>199</v>
      </c>
      <c r="E230" t="s">
        <v>26</v>
      </c>
      <c r="F230">
        <v>612500</v>
      </c>
      <c r="G230">
        <v>153000</v>
      </c>
      <c r="H230">
        <v>128500</v>
      </c>
      <c r="I230" t="s">
        <v>39</v>
      </c>
    </row>
    <row r="231" spans="1:9" x14ac:dyDescent="0.35">
      <c r="A231" t="s">
        <v>252</v>
      </c>
      <c r="B231" t="s">
        <v>68</v>
      </c>
      <c r="C231" t="s">
        <v>253</v>
      </c>
      <c r="D231" t="s">
        <v>199</v>
      </c>
      <c r="E231" t="s">
        <v>30</v>
      </c>
      <c r="F231">
        <v>787500</v>
      </c>
      <c r="G231">
        <v>196000</v>
      </c>
      <c r="H231">
        <v>207000</v>
      </c>
      <c r="I231" t="s">
        <v>39</v>
      </c>
    </row>
    <row r="232" spans="1:9" x14ac:dyDescent="0.35">
      <c r="A232" t="s">
        <v>252</v>
      </c>
      <c r="B232" t="s">
        <v>68</v>
      </c>
      <c r="C232" t="s">
        <v>253</v>
      </c>
      <c r="D232" t="s">
        <v>199</v>
      </c>
      <c r="E232" t="s">
        <v>35</v>
      </c>
      <c r="F232">
        <v>787500</v>
      </c>
      <c r="G232">
        <v>196000</v>
      </c>
      <c r="H232">
        <v>195500</v>
      </c>
      <c r="I232" t="s">
        <v>39</v>
      </c>
    </row>
    <row r="233" spans="1:9" x14ac:dyDescent="0.35">
      <c r="A233" t="s">
        <v>252</v>
      </c>
      <c r="B233" t="s">
        <v>68</v>
      </c>
      <c r="C233" t="s">
        <v>253</v>
      </c>
      <c r="D233" t="s">
        <v>199</v>
      </c>
      <c r="E233" t="s">
        <v>22</v>
      </c>
      <c r="F233">
        <v>431200</v>
      </c>
      <c r="G233">
        <v>107000</v>
      </c>
      <c r="H233">
        <v>112000</v>
      </c>
      <c r="I233" t="s">
        <v>39</v>
      </c>
    </row>
    <row r="234" spans="1:9" x14ac:dyDescent="0.35">
      <c r="A234" t="s">
        <v>252</v>
      </c>
      <c r="B234" t="s">
        <v>68</v>
      </c>
      <c r="C234" t="s">
        <v>253</v>
      </c>
      <c r="D234" t="s">
        <v>199</v>
      </c>
      <c r="E234" t="s">
        <v>21</v>
      </c>
      <c r="F234">
        <v>431300</v>
      </c>
      <c r="G234">
        <v>107000</v>
      </c>
      <c r="H234">
        <v>115500</v>
      </c>
      <c r="I234" t="s">
        <v>39</v>
      </c>
    </row>
    <row r="235" spans="1:9" x14ac:dyDescent="0.35">
      <c r="A235" t="s">
        <v>252</v>
      </c>
      <c r="B235" t="s">
        <v>68</v>
      </c>
      <c r="C235" t="s">
        <v>253</v>
      </c>
      <c r="D235" t="s">
        <v>199</v>
      </c>
      <c r="E235" t="s">
        <v>18</v>
      </c>
      <c r="F235">
        <v>787500</v>
      </c>
      <c r="G235">
        <v>196000</v>
      </c>
      <c r="H235">
        <v>167700</v>
      </c>
      <c r="I235" t="s">
        <v>39</v>
      </c>
    </row>
    <row r="236" spans="1:9" x14ac:dyDescent="0.35">
      <c r="A236" t="s">
        <v>252</v>
      </c>
      <c r="B236" t="s">
        <v>68</v>
      </c>
      <c r="C236" t="s">
        <v>253</v>
      </c>
      <c r="D236" t="s">
        <v>199</v>
      </c>
      <c r="E236" t="s">
        <v>23</v>
      </c>
      <c r="F236">
        <v>612500</v>
      </c>
      <c r="G236">
        <v>153000</v>
      </c>
      <c r="H236">
        <v>177000</v>
      </c>
      <c r="I236" t="s">
        <v>39</v>
      </c>
    </row>
    <row r="237" spans="1:9" x14ac:dyDescent="0.35">
      <c r="A237" t="s">
        <v>252</v>
      </c>
      <c r="B237" t="s">
        <v>68</v>
      </c>
      <c r="C237" t="s">
        <v>253</v>
      </c>
      <c r="D237" t="s">
        <v>199</v>
      </c>
      <c r="E237" t="s">
        <v>32</v>
      </c>
      <c r="F237">
        <v>431300</v>
      </c>
      <c r="G237">
        <v>107000</v>
      </c>
      <c r="H237">
        <v>71200</v>
      </c>
      <c r="I237" t="s">
        <v>39</v>
      </c>
    </row>
    <row r="238" spans="1:9" x14ac:dyDescent="0.35">
      <c r="A238" t="s">
        <v>252</v>
      </c>
      <c r="B238" t="s">
        <v>68</v>
      </c>
      <c r="C238" t="s">
        <v>253</v>
      </c>
      <c r="D238" t="s">
        <v>199</v>
      </c>
      <c r="E238" t="s">
        <v>20</v>
      </c>
      <c r="F238">
        <v>262500</v>
      </c>
      <c r="G238">
        <v>65000</v>
      </c>
      <c r="H238">
        <v>45500</v>
      </c>
      <c r="I238" t="s">
        <v>39</v>
      </c>
    </row>
    <row r="239" spans="1:9" x14ac:dyDescent="0.35">
      <c r="A239" t="s">
        <v>252</v>
      </c>
      <c r="B239" t="s">
        <v>68</v>
      </c>
      <c r="C239" t="s">
        <v>253</v>
      </c>
      <c r="D239" t="s">
        <v>199</v>
      </c>
      <c r="E239" t="s">
        <v>31</v>
      </c>
      <c r="F239">
        <v>612500</v>
      </c>
      <c r="G239">
        <v>153000</v>
      </c>
      <c r="H239">
        <v>327000</v>
      </c>
      <c r="I239" t="s">
        <v>39</v>
      </c>
    </row>
    <row r="240" spans="1:9" x14ac:dyDescent="0.35">
      <c r="A240" t="s">
        <v>252</v>
      </c>
      <c r="B240" t="s">
        <v>68</v>
      </c>
      <c r="C240" t="s">
        <v>253</v>
      </c>
      <c r="D240" t="s">
        <v>199</v>
      </c>
      <c r="E240" t="s">
        <v>27</v>
      </c>
      <c r="F240">
        <v>612500</v>
      </c>
      <c r="G240">
        <v>153000</v>
      </c>
      <c r="H240">
        <v>67500</v>
      </c>
      <c r="I240" t="s">
        <v>39</v>
      </c>
    </row>
    <row r="241" spans="1:9" x14ac:dyDescent="0.35">
      <c r="A241" t="s">
        <v>254</v>
      </c>
      <c r="B241" t="s">
        <v>68</v>
      </c>
      <c r="C241" t="s">
        <v>255</v>
      </c>
      <c r="D241" t="s">
        <v>198</v>
      </c>
      <c r="E241" t="s">
        <v>16</v>
      </c>
      <c r="F241">
        <v>1500000</v>
      </c>
      <c r="G241">
        <v>375000</v>
      </c>
      <c r="H241">
        <v>53188.72</v>
      </c>
      <c r="I241" t="s">
        <v>39</v>
      </c>
    </row>
    <row r="242" spans="1:9" x14ac:dyDescent="0.35">
      <c r="A242" t="s">
        <v>254</v>
      </c>
      <c r="B242" t="s">
        <v>68</v>
      </c>
      <c r="C242" t="s">
        <v>255</v>
      </c>
      <c r="D242" t="s">
        <v>199</v>
      </c>
      <c r="E242" t="s">
        <v>34</v>
      </c>
      <c r="F242">
        <v>720000</v>
      </c>
      <c r="G242">
        <v>180000</v>
      </c>
      <c r="H242">
        <v>120000</v>
      </c>
      <c r="I242" t="s">
        <v>39</v>
      </c>
    </row>
    <row r="243" spans="1:9" x14ac:dyDescent="0.35">
      <c r="A243" t="s">
        <v>254</v>
      </c>
      <c r="B243" t="s">
        <v>68</v>
      </c>
      <c r="C243" t="s">
        <v>255</v>
      </c>
      <c r="D243" t="s">
        <v>199</v>
      </c>
      <c r="E243" t="s">
        <v>31</v>
      </c>
      <c r="G243">
        <v>0</v>
      </c>
      <c r="H243">
        <v>14710</v>
      </c>
      <c r="I243" t="s">
        <v>39</v>
      </c>
    </row>
    <row r="244" spans="1:9" x14ac:dyDescent="0.35">
      <c r="A244" t="s">
        <v>256</v>
      </c>
      <c r="B244" t="s">
        <v>68</v>
      </c>
      <c r="C244" t="s">
        <v>257</v>
      </c>
      <c r="D244" t="s">
        <v>199</v>
      </c>
      <c r="E244" t="s">
        <v>18</v>
      </c>
      <c r="G244">
        <v>0</v>
      </c>
      <c r="H244">
        <v>6000</v>
      </c>
      <c r="I244" t="s">
        <v>39</v>
      </c>
    </row>
    <row r="245" spans="1:9" x14ac:dyDescent="0.35">
      <c r="A245" t="s">
        <v>258</v>
      </c>
      <c r="B245" t="s">
        <v>68</v>
      </c>
      <c r="C245" t="s">
        <v>259</v>
      </c>
      <c r="D245" t="s">
        <v>198</v>
      </c>
      <c r="E245" t="s">
        <v>12</v>
      </c>
      <c r="F245">
        <v>52500</v>
      </c>
      <c r="G245">
        <v>13000</v>
      </c>
      <c r="H245">
        <v>207700</v>
      </c>
      <c r="I245" t="s">
        <v>39</v>
      </c>
    </row>
    <row r="246" spans="1:9" x14ac:dyDescent="0.35">
      <c r="A246" t="s">
        <v>234</v>
      </c>
      <c r="B246" t="s">
        <v>68</v>
      </c>
      <c r="C246" t="s">
        <v>235</v>
      </c>
      <c r="D246" t="s">
        <v>198</v>
      </c>
      <c r="E246" t="s">
        <v>7</v>
      </c>
      <c r="F246">
        <v>700000</v>
      </c>
      <c r="G246">
        <v>175000</v>
      </c>
      <c r="H246">
        <v>355150</v>
      </c>
      <c r="I246" t="s">
        <v>39</v>
      </c>
    </row>
    <row r="247" spans="1:9" x14ac:dyDescent="0.35">
      <c r="A247" t="s">
        <v>260</v>
      </c>
      <c r="B247" t="s">
        <v>68</v>
      </c>
      <c r="C247" t="s">
        <v>261</v>
      </c>
      <c r="D247" t="s">
        <v>198</v>
      </c>
      <c r="E247" t="s">
        <v>34</v>
      </c>
      <c r="F247">
        <v>155000</v>
      </c>
      <c r="G247">
        <v>100000</v>
      </c>
      <c r="H247">
        <v>124778.97</v>
      </c>
      <c r="I247" t="s">
        <v>39</v>
      </c>
    </row>
    <row r="248" spans="1:9" x14ac:dyDescent="0.35">
      <c r="A248" t="s">
        <v>260</v>
      </c>
      <c r="B248" t="s">
        <v>68</v>
      </c>
      <c r="C248" t="s">
        <v>261</v>
      </c>
      <c r="D248" t="s">
        <v>199</v>
      </c>
      <c r="E248" t="s">
        <v>30</v>
      </c>
      <c r="G248">
        <v>0</v>
      </c>
      <c r="H248">
        <v>0.75</v>
      </c>
      <c r="I248" t="s">
        <v>39</v>
      </c>
    </row>
    <row r="249" spans="1:9" x14ac:dyDescent="0.35">
      <c r="A249" t="s">
        <v>260</v>
      </c>
      <c r="B249" t="s">
        <v>68</v>
      </c>
      <c r="C249" t="s">
        <v>261</v>
      </c>
      <c r="D249" t="s">
        <v>199</v>
      </c>
      <c r="E249" t="s">
        <v>18</v>
      </c>
      <c r="G249">
        <v>0</v>
      </c>
      <c r="H249">
        <v>3.3</v>
      </c>
      <c r="I249" t="s">
        <v>39</v>
      </c>
    </row>
    <row r="250" spans="1:9" x14ac:dyDescent="0.35">
      <c r="A250" t="s">
        <v>262</v>
      </c>
      <c r="B250" t="s">
        <v>68</v>
      </c>
      <c r="C250" t="s">
        <v>263</v>
      </c>
      <c r="D250" t="s">
        <v>198</v>
      </c>
      <c r="E250" t="s">
        <v>13</v>
      </c>
      <c r="G250">
        <v>0</v>
      </c>
      <c r="H250">
        <v>3230.36</v>
      </c>
      <c r="I250" t="s">
        <v>39</v>
      </c>
    </row>
    <row r="251" spans="1:9" x14ac:dyDescent="0.35">
      <c r="A251" t="s">
        <v>264</v>
      </c>
      <c r="B251" t="s">
        <v>68</v>
      </c>
      <c r="C251" t="s">
        <v>265</v>
      </c>
      <c r="D251" t="s">
        <v>198</v>
      </c>
      <c r="E251" t="s">
        <v>5</v>
      </c>
      <c r="G251">
        <v>0</v>
      </c>
      <c r="H251">
        <v>578.51</v>
      </c>
      <c r="I251" t="s">
        <v>39</v>
      </c>
    </row>
    <row r="252" spans="1:9" x14ac:dyDescent="0.35">
      <c r="A252" t="s">
        <v>264</v>
      </c>
      <c r="B252" t="s">
        <v>68</v>
      </c>
      <c r="C252" t="s">
        <v>265</v>
      </c>
      <c r="D252" t="s">
        <v>199</v>
      </c>
      <c r="E252" t="s">
        <v>35</v>
      </c>
      <c r="G252">
        <v>0</v>
      </c>
      <c r="H252">
        <v>3.06</v>
      </c>
      <c r="I252" t="s">
        <v>39</v>
      </c>
    </row>
    <row r="253" spans="1:9" x14ac:dyDescent="0.35">
      <c r="A253" t="s">
        <v>264</v>
      </c>
      <c r="B253" t="s">
        <v>68</v>
      </c>
      <c r="C253" t="s">
        <v>265</v>
      </c>
      <c r="D253" t="s">
        <v>199</v>
      </c>
      <c r="E253" t="s">
        <v>21</v>
      </c>
      <c r="G253">
        <v>0</v>
      </c>
      <c r="H253">
        <v>0.2</v>
      </c>
      <c r="I253" t="s">
        <v>39</v>
      </c>
    </row>
    <row r="254" spans="1:9" x14ac:dyDescent="0.35">
      <c r="A254" t="s">
        <v>266</v>
      </c>
      <c r="B254" t="s">
        <v>68</v>
      </c>
      <c r="C254" t="s">
        <v>267</v>
      </c>
      <c r="D254" t="s">
        <v>198</v>
      </c>
      <c r="E254" t="s">
        <v>12</v>
      </c>
      <c r="F254">
        <v>302500</v>
      </c>
      <c r="G254">
        <v>75000</v>
      </c>
      <c r="H254">
        <v>102707.57</v>
      </c>
      <c r="I254" t="s">
        <v>39</v>
      </c>
    </row>
    <row r="255" spans="1:9" x14ac:dyDescent="0.35">
      <c r="A255" t="s">
        <v>268</v>
      </c>
      <c r="B255" t="s">
        <v>68</v>
      </c>
      <c r="C255" t="s">
        <v>269</v>
      </c>
      <c r="D255" t="s">
        <v>198</v>
      </c>
      <c r="E255" t="s">
        <v>55</v>
      </c>
      <c r="G255">
        <v>0</v>
      </c>
      <c r="H255">
        <v>1000000</v>
      </c>
      <c r="I255" t="s">
        <v>39</v>
      </c>
    </row>
    <row r="256" spans="1:9" x14ac:dyDescent="0.35">
      <c r="A256" t="s">
        <v>230</v>
      </c>
      <c r="B256" t="s">
        <v>68</v>
      </c>
      <c r="C256" t="s">
        <v>231</v>
      </c>
      <c r="D256" t="s">
        <v>198</v>
      </c>
      <c r="E256" t="s">
        <v>10</v>
      </c>
      <c r="F256">
        <v>1800000</v>
      </c>
      <c r="G256">
        <v>500000</v>
      </c>
      <c r="H256">
        <v>491462.12</v>
      </c>
      <c r="I256" t="s">
        <v>39</v>
      </c>
    </row>
    <row r="257" spans="1:9" hidden="1" x14ac:dyDescent="0.35">
      <c r="A257" t="s">
        <v>270</v>
      </c>
      <c r="B257" t="s">
        <v>65</v>
      </c>
      <c r="C257" t="s">
        <v>271</v>
      </c>
      <c r="D257" t="s">
        <v>198</v>
      </c>
      <c r="E257" t="s">
        <v>44</v>
      </c>
      <c r="F257">
        <v>3835500</v>
      </c>
      <c r="G257">
        <v>700000</v>
      </c>
      <c r="H257">
        <v>606383.19999999995</v>
      </c>
      <c r="I257" t="s">
        <v>36</v>
      </c>
    </row>
    <row r="258" spans="1:9" hidden="1" x14ac:dyDescent="0.35">
      <c r="A258" t="s">
        <v>270</v>
      </c>
      <c r="B258" t="s">
        <v>65</v>
      </c>
      <c r="C258" t="s">
        <v>271</v>
      </c>
      <c r="D258" t="s">
        <v>198</v>
      </c>
      <c r="E258" t="s">
        <v>45</v>
      </c>
      <c r="F258">
        <v>854900</v>
      </c>
      <c r="G258">
        <v>260000</v>
      </c>
      <c r="H258">
        <v>217509.1</v>
      </c>
      <c r="I258" t="s">
        <v>36</v>
      </c>
    </row>
    <row r="259" spans="1:9" hidden="1" x14ac:dyDescent="0.35">
      <c r="A259" t="s">
        <v>270</v>
      </c>
      <c r="B259" t="s">
        <v>65</v>
      </c>
      <c r="C259" t="s">
        <v>271</v>
      </c>
      <c r="D259" t="s">
        <v>198</v>
      </c>
      <c r="E259" t="s">
        <v>40</v>
      </c>
      <c r="F259">
        <v>1549400</v>
      </c>
      <c r="G259">
        <v>500000</v>
      </c>
      <c r="H259">
        <v>415774.06</v>
      </c>
      <c r="I259" t="s">
        <v>36</v>
      </c>
    </row>
    <row r="260" spans="1:9" hidden="1" x14ac:dyDescent="0.35">
      <c r="A260" t="s">
        <v>270</v>
      </c>
      <c r="B260" t="s">
        <v>65</v>
      </c>
      <c r="C260" t="s">
        <v>271</v>
      </c>
      <c r="D260" t="s">
        <v>198</v>
      </c>
      <c r="E260" t="s">
        <v>16</v>
      </c>
      <c r="F260">
        <v>10651000</v>
      </c>
      <c r="G260">
        <v>1500000</v>
      </c>
      <c r="H260">
        <v>1262856.94</v>
      </c>
      <c r="I260" t="s">
        <v>36</v>
      </c>
    </row>
    <row r="261" spans="1:9" hidden="1" x14ac:dyDescent="0.35">
      <c r="A261" t="s">
        <v>270</v>
      </c>
      <c r="B261" t="s">
        <v>65</v>
      </c>
      <c r="C261" t="s">
        <v>271</v>
      </c>
      <c r="D261" t="s">
        <v>198</v>
      </c>
      <c r="E261" t="s">
        <v>42</v>
      </c>
      <c r="F261">
        <v>2537900</v>
      </c>
      <c r="G261">
        <v>650000</v>
      </c>
      <c r="H261">
        <v>575670.34</v>
      </c>
      <c r="I261" t="s">
        <v>36</v>
      </c>
    </row>
    <row r="262" spans="1:9" hidden="1" x14ac:dyDescent="0.35">
      <c r="A262" t="s">
        <v>270</v>
      </c>
      <c r="B262" t="s">
        <v>65</v>
      </c>
      <c r="C262" t="s">
        <v>271</v>
      </c>
      <c r="D262" t="s">
        <v>198</v>
      </c>
      <c r="E262" t="s">
        <v>5</v>
      </c>
      <c r="F262">
        <v>2311200</v>
      </c>
      <c r="G262">
        <v>600000</v>
      </c>
      <c r="H262">
        <v>516028.08</v>
      </c>
      <c r="I262" t="s">
        <v>36</v>
      </c>
    </row>
    <row r="263" spans="1:9" hidden="1" x14ac:dyDescent="0.35">
      <c r="A263" t="s">
        <v>270</v>
      </c>
      <c r="B263" t="s">
        <v>65</v>
      </c>
      <c r="C263" t="s">
        <v>271</v>
      </c>
      <c r="D263" t="s">
        <v>198</v>
      </c>
      <c r="E263" t="s">
        <v>34</v>
      </c>
      <c r="F263">
        <v>1709700</v>
      </c>
      <c r="G263">
        <v>400000</v>
      </c>
      <c r="H263">
        <v>339644.33</v>
      </c>
      <c r="I263" t="s">
        <v>36</v>
      </c>
    </row>
    <row r="264" spans="1:9" hidden="1" x14ac:dyDescent="0.35">
      <c r="A264" t="s">
        <v>270</v>
      </c>
      <c r="B264" t="s">
        <v>65</v>
      </c>
      <c r="C264" t="s">
        <v>271</v>
      </c>
      <c r="D264" t="s">
        <v>198</v>
      </c>
      <c r="E264" t="s">
        <v>13</v>
      </c>
      <c r="F264">
        <v>2338400</v>
      </c>
      <c r="G264">
        <v>600000</v>
      </c>
      <c r="H264">
        <v>522599.69</v>
      </c>
      <c r="I264" t="s">
        <v>36</v>
      </c>
    </row>
    <row r="265" spans="1:9" hidden="1" x14ac:dyDescent="0.35">
      <c r="A265" t="s">
        <v>270</v>
      </c>
      <c r="B265" t="s">
        <v>65</v>
      </c>
      <c r="C265" t="s">
        <v>271</v>
      </c>
      <c r="D265" t="s">
        <v>198</v>
      </c>
      <c r="E265" t="s">
        <v>9</v>
      </c>
      <c r="F265">
        <v>2443100</v>
      </c>
      <c r="G265">
        <v>550000</v>
      </c>
      <c r="H265">
        <v>458288</v>
      </c>
      <c r="I265" t="s">
        <v>36</v>
      </c>
    </row>
    <row r="266" spans="1:9" hidden="1" x14ac:dyDescent="0.35">
      <c r="A266" t="s">
        <v>270</v>
      </c>
      <c r="B266" t="s">
        <v>65</v>
      </c>
      <c r="C266" t="s">
        <v>271</v>
      </c>
      <c r="D266" t="s">
        <v>198</v>
      </c>
      <c r="E266" t="s">
        <v>11</v>
      </c>
      <c r="F266">
        <v>1757700</v>
      </c>
      <c r="G266">
        <v>400000</v>
      </c>
      <c r="H266">
        <v>345581.39</v>
      </c>
      <c r="I266" t="s">
        <v>36</v>
      </c>
    </row>
    <row r="267" spans="1:9" hidden="1" x14ac:dyDescent="0.35">
      <c r="A267" t="s">
        <v>270</v>
      </c>
      <c r="B267" t="s">
        <v>65</v>
      </c>
      <c r="C267" t="s">
        <v>271</v>
      </c>
      <c r="D267" t="s">
        <v>198</v>
      </c>
      <c r="E267" t="s">
        <v>15</v>
      </c>
      <c r="F267">
        <v>2413500</v>
      </c>
      <c r="G267">
        <v>380000</v>
      </c>
      <c r="H267">
        <v>322786.23</v>
      </c>
      <c r="I267" t="s">
        <v>36</v>
      </c>
    </row>
    <row r="268" spans="1:9" hidden="1" x14ac:dyDescent="0.35">
      <c r="A268" t="s">
        <v>270</v>
      </c>
      <c r="B268" t="s">
        <v>65</v>
      </c>
      <c r="C268" t="s">
        <v>271</v>
      </c>
      <c r="D268" t="s">
        <v>198</v>
      </c>
      <c r="E268" t="s">
        <v>14</v>
      </c>
      <c r="F268">
        <v>1058200</v>
      </c>
      <c r="G268">
        <v>380000</v>
      </c>
      <c r="H268">
        <v>328302.78999999998</v>
      </c>
      <c r="I268" t="s">
        <v>36</v>
      </c>
    </row>
    <row r="269" spans="1:9" hidden="1" x14ac:dyDescent="0.35">
      <c r="A269" t="s">
        <v>270</v>
      </c>
      <c r="B269" t="s">
        <v>65</v>
      </c>
      <c r="C269" t="s">
        <v>271</v>
      </c>
      <c r="D269" t="s">
        <v>198</v>
      </c>
      <c r="E269" t="s">
        <v>12</v>
      </c>
      <c r="F269">
        <v>4400900</v>
      </c>
      <c r="G269">
        <v>895600</v>
      </c>
      <c r="H269">
        <v>830879.33</v>
      </c>
      <c r="I269" t="s">
        <v>36</v>
      </c>
    </row>
    <row r="270" spans="1:9" hidden="1" x14ac:dyDescent="0.35">
      <c r="A270" t="s">
        <v>270</v>
      </c>
      <c r="B270" t="s">
        <v>65</v>
      </c>
      <c r="C270" t="s">
        <v>271</v>
      </c>
      <c r="D270" t="s">
        <v>198</v>
      </c>
      <c r="E270" t="s">
        <v>7</v>
      </c>
      <c r="F270">
        <v>1879800</v>
      </c>
      <c r="G270">
        <v>539000</v>
      </c>
      <c r="H270">
        <v>538948.22</v>
      </c>
      <c r="I270" t="s">
        <v>36</v>
      </c>
    </row>
    <row r="271" spans="1:9" hidden="1" x14ac:dyDescent="0.35">
      <c r="A271" t="s">
        <v>270</v>
      </c>
      <c r="B271" t="s">
        <v>65</v>
      </c>
      <c r="C271" t="s">
        <v>271</v>
      </c>
      <c r="D271" t="s">
        <v>198</v>
      </c>
      <c r="E271" t="s">
        <v>7</v>
      </c>
      <c r="F271">
        <v>116400</v>
      </c>
      <c r="G271">
        <v>116400</v>
      </c>
      <c r="H271">
        <v>116399.65</v>
      </c>
      <c r="I271" t="s">
        <v>36</v>
      </c>
    </row>
    <row r="272" spans="1:9" hidden="1" x14ac:dyDescent="0.35">
      <c r="A272" t="s">
        <v>270</v>
      </c>
      <c r="B272" t="s">
        <v>65</v>
      </c>
      <c r="C272" t="s">
        <v>271</v>
      </c>
      <c r="D272" t="s">
        <v>198</v>
      </c>
      <c r="E272" t="s">
        <v>41</v>
      </c>
      <c r="F272">
        <v>2601000</v>
      </c>
      <c r="G272">
        <v>366000</v>
      </c>
      <c r="H272">
        <v>365603.67</v>
      </c>
      <c r="I272" t="s">
        <v>36</v>
      </c>
    </row>
    <row r="273" spans="1:9" hidden="1" x14ac:dyDescent="0.35">
      <c r="A273" t="s">
        <v>270</v>
      </c>
      <c r="B273" t="s">
        <v>65</v>
      </c>
      <c r="C273" t="s">
        <v>271</v>
      </c>
      <c r="D273" t="s">
        <v>198</v>
      </c>
      <c r="E273" t="s">
        <v>6</v>
      </c>
      <c r="F273">
        <v>1166800</v>
      </c>
      <c r="G273">
        <v>305000</v>
      </c>
      <c r="H273">
        <v>304914.86</v>
      </c>
      <c r="I273" t="s">
        <v>36</v>
      </c>
    </row>
    <row r="274" spans="1:9" hidden="1" x14ac:dyDescent="0.35">
      <c r="A274" t="s">
        <v>270</v>
      </c>
      <c r="B274" t="s">
        <v>65</v>
      </c>
      <c r="C274" t="s">
        <v>271</v>
      </c>
      <c r="D274" t="s">
        <v>198</v>
      </c>
      <c r="E274" t="s">
        <v>8</v>
      </c>
      <c r="F274">
        <v>1027400</v>
      </c>
      <c r="G274">
        <v>371000</v>
      </c>
      <c r="H274">
        <v>370367.64</v>
      </c>
      <c r="I274" t="s">
        <v>36</v>
      </c>
    </row>
    <row r="275" spans="1:9" hidden="1" x14ac:dyDescent="0.35">
      <c r="A275" t="s">
        <v>270</v>
      </c>
      <c r="B275" t="s">
        <v>65</v>
      </c>
      <c r="C275" t="s">
        <v>271</v>
      </c>
      <c r="D275" t="s">
        <v>198</v>
      </c>
      <c r="E275" t="s">
        <v>10</v>
      </c>
      <c r="F275">
        <v>1081800</v>
      </c>
      <c r="G275">
        <v>331000</v>
      </c>
      <c r="H275">
        <v>330671.03000000003</v>
      </c>
      <c r="I275" t="s">
        <v>36</v>
      </c>
    </row>
    <row r="276" spans="1:9" hidden="1" x14ac:dyDescent="0.35">
      <c r="A276" t="s">
        <v>270</v>
      </c>
      <c r="B276" t="s">
        <v>65</v>
      </c>
      <c r="C276" t="s">
        <v>271</v>
      </c>
      <c r="D276" t="s">
        <v>199</v>
      </c>
      <c r="E276" t="s">
        <v>24</v>
      </c>
      <c r="F276">
        <v>972400</v>
      </c>
      <c r="G276">
        <v>228000</v>
      </c>
      <c r="H276">
        <v>227566.45</v>
      </c>
      <c r="I276" t="s">
        <v>36</v>
      </c>
    </row>
    <row r="277" spans="1:9" hidden="1" x14ac:dyDescent="0.35">
      <c r="A277" t="s">
        <v>270</v>
      </c>
      <c r="B277" t="s">
        <v>65</v>
      </c>
      <c r="C277" t="s">
        <v>271</v>
      </c>
      <c r="D277" t="s">
        <v>199</v>
      </c>
      <c r="E277" t="s">
        <v>19</v>
      </c>
      <c r="F277">
        <v>2335200</v>
      </c>
      <c r="G277">
        <v>567000</v>
      </c>
      <c r="H277">
        <v>566843.68000000005</v>
      </c>
      <c r="I277" t="s">
        <v>36</v>
      </c>
    </row>
    <row r="278" spans="1:9" hidden="1" x14ac:dyDescent="0.35">
      <c r="A278" t="s">
        <v>270</v>
      </c>
      <c r="B278" t="s">
        <v>65</v>
      </c>
      <c r="C278" t="s">
        <v>271</v>
      </c>
      <c r="D278" t="s">
        <v>199</v>
      </c>
      <c r="E278" t="s">
        <v>25</v>
      </c>
      <c r="F278">
        <v>2534300</v>
      </c>
      <c r="G278">
        <v>613000</v>
      </c>
      <c r="H278">
        <v>612452.99</v>
      </c>
      <c r="I278" t="s">
        <v>36</v>
      </c>
    </row>
    <row r="279" spans="1:9" hidden="1" x14ac:dyDescent="0.35">
      <c r="A279" t="s">
        <v>270</v>
      </c>
      <c r="B279" t="s">
        <v>65</v>
      </c>
      <c r="C279" t="s">
        <v>271</v>
      </c>
      <c r="D279" t="s">
        <v>199</v>
      </c>
      <c r="E279" t="s">
        <v>26</v>
      </c>
      <c r="F279">
        <v>2431700</v>
      </c>
      <c r="G279">
        <v>599000</v>
      </c>
      <c r="H279">
        <v>598685.24</v>
      </c>
      <c r="I279" t="s">
        <v>36</v>
      </c>
    </row>
    <row r="280" spans="1:9" hidden="1" x14ac:dyDescent="0.35">
      <c r="A280" t="s">
        <v>270</v>
      </c>
      <c r="B280" t="s">
        <v>65</v>
      </c>
      <c r="C280" t="s">
        <v>271</v>
      </c>
      <c r="D280" t="s">
        <v>199</v>
      </c>
      <c r="E280" t="s">
        <v>30</v>
      </c>
      <c r="F280">
        <v>4457900</v>
      </c>
      <c r="G280">
        <v>950000</v>
      </c>
      <c r="H280">
        <v>949226.79</v>
      </c>
      <c r="I280" t="s">
        <v>36</v>
      </c>
    </row>
    <row r="281" spans="1:9" hidden="1" x14ac:dyDescent="0.35">
      <c r="A281" t="s">
        <v>270</v>
      </c>
      <c r="B281" t="s">
        <v>65</v>
      </c>
      <c r="C281" t="s">
        <v>271</v>
      </c>
      <c r="D281" t="s">
        <v>199</v>
      </c>
      <c r="E281" t="s">
        <v>35</v>
      </c>
      <c r="F281">
        <v>4198300</v>
      </c>
      <c r="G281">
        <v>937000</v>
      </c>
      <c r="H281">
        <v>936593.94</v>
      </c>
      <c r="I281" t="s">
        <v>36</v>
      </c>
    </row>
    <row r="282" spans="1:9" hidden="1" x14ac:dyDescent="0.35">
      <c r="A282" t="s">
        <v>270</v>
      </c>
      <c r="B282" t="s">
        <v>65</v>
      </c>
      <c r="C282" t="s">
        <v>271</v>
      </c>
      <c r="D282" t="s">
        <v>199</v>
      </c>
      <c r="E282" t="s">
        <v>22</v>
      </c>
      <c r="F282">
        <v>1986700</v>
      </c>
      <c r="G282">
        <v>506000</v>
      </c>
      <c r="H282">
        <v>505227.63</v>
      </c>
      <c r="I282" t="s">
        <v>36</v>
      </c>
    </row>
    <row r="283" spans="1:9" hidden="1" x14ac:dyDescent="0.35">
      <c r="A283" t="s">
        <v>270</v>
      </c>
      <c r="B283" t="s">
        <v>65</v>
      </c>
      <c r="C283" t="s">
        <v>271</v>
      </c>
      <c r="D283" t="s">
        <v>199</v>
      </c>
      <c r="E283" t="s">
        <v>21</v>
      </c>
      <c r="F283">
        <v>2085400</v>
      </c>
      <c r="G283">
        <v>498000</v>
      </c>
      <c r="H283">
        <v>497971.48</v>
      </c>
      <c r="I283" t="s">
        <v>36</v>
      </c>
    </row>
    <row r="284" spans="1:9" hidden="1" x14ac:dyDescent="0.35">
      <c r="A284" t="s">
        <v>270</v>
      </c>
      <c r="B284" t="s">
        <v>65</v>
      </c>
      <c r="C284" t="s">
        <v>271</v>
      </c>
      <c r="D284" t="s">
        <v>199</v>
      </c>
      <c r="E284" t="s">
        <v>18</v>
      </c>
      <c r="F284">
        <v>4023700</v>
      </c>
      <c r="G284">
        <v>817000</v>
      </c>
      <c r="H284">
        <v>816293.48</v>
      </c>
      <c r="I284" t="s">
        <v>36</v>
      </c>
    </row>
    <row r="285" spans="1:9" hidden="1" x14ac:dyDescent="0.35">
      <c r="A285" t="s">
        <v>270</v>
      </c>
      <c r="B285" t="s">
        <v>65</v>
      </c>
      <c r="C285" t="s">
        <v>271</v>
      </c>
      <c r="D285" t="s">
        <v>199</v>
      </c>
      <c r="E285" t="s">
        <v>23</v>
      </c>
      <c r="F285">
        <v>2196700</v>
      </c>
      <c r="G285">
        <v>547000</v>
      </c>
      <c r="H285">
        <v>546119.22</v>
      </c>
      <c r="I285" t="s">
        <v>36</v>
      </c>
    </row>
    <row r="286" spans="1:9" hidden="1" x14ac:dyDescent="0.35">
      <c r="A286" t="s">
        <v>270</v>
      </c>
      <c r="B286" t="s">
        <v>65</v>
      </c>
      <c r="C286" t="s">
        <v>271</v>
      </c>
      <c r="D286" t="s">
        <v>199</v>
      </c>
      <c r="E286" t="s">
        <v>32</v>
      </c>
      <c r="F286">
        <v>2486200</v>
      </c>
      <c r="G286">
        <v>597000</v>
      </c>
      <c r="H286">
        <v>596429.75</v>
      </c>
      <c r="I286" t="s">
        <v>36</v>
      </c>
    </row>
    <row r="287" spans="1:9" hidden="1" x14ac:dyDescent="0.35">
      <c r="A287" t="s">
        <v>270</v>
      </c>
      <c r="B287" t="s">
        <v>65</v>
      </c>
      <c r="C287" t="s">
        <v>271</v>
      </c>
      <c r="D287" t="s">
        <v>199</v>
      </c>
      <c r="E287" t="s">
        <v>20</v>
      </c>
      <c r="F287">
        <v>2300200</v>
      </c>
      <c r="G287">
        <v>559000</v>
      </c>
      <c r="H287">
        <v>558729.35</v>
      </c>
      <c r="I287" t="s">
        <v>36</v>
      </c>
    </row>
    <row r="288" spans="1:9" hidden="1" x14ac:dyDescent="0.35">
      <c r="A288" t="s">
        <v>270</v>
      </c>
      <c r="B288" t="s">
        <v>65</v>
      </c>
      <c r="C288" t="s">
        <v>271</v>
      </c>
      <c r="D288" t="s">
        <v>199</v>
      </c>
      <c r="E288" t="s">
        <v>31</v>
      </c>
      <c r="F288">
        <v>2974500</v>
      </c>
      <c r="G288">
        <v>753000</v>
      </c>
      <c r="H288">
        <v>752259.1</v>
      </c>
      <c r="I288" t="s">
        <v>36</v>
      </c>
    </row>
    <row r="289" spans="1:9" hidden="1" x14ac:dyDescent="0.35">
      <c r="A289" t="s">
        <v>270</v>
      </c>
      <c r="B289" t="s">
        <v>65</v>
      </c>
      <c r="C289" t="s">
        <v>271</v>
      </c>
      <c r="D289" t="s">
        <v>199</v>
      </c>
      <c r="E289" t="s">
        <v>43</v>
      </c>
      <c r="F289">
        <v>1050800</v>
      </c>
      <c r="G289">
        <v>265000</v>
      </c>
      <c r="H289">
        <v>264566.23</v>
      </c>
      <c r="I289" t="s">
        <v>36</v>
      </c>
    </row>
    <row r="290" spans="1:9" hidden="1" x14ac:dyDescent="0.35">
      <c r="A290" t="s">
        <v>270</v>
      </c>
      <c r="B290" t="s">
        <v>65</v>
      </c>
      <c r="C290" t="s">
        <v>271</v>
      </c>
      <c r="D290" t="s">
        <v>199</v>
      </c>
      <c r="E290" t="s">
        <v>17</v>
      </c>
      <c r="F290">
        <v>974200</v>
      </c>
      <c r="G290">
        <v>225000</v>
      </c>
      <c r="H290">
        <v>224796.13</v>
      </c>
      <c r="I290" t="s">
        <v>36</v>
      </c>
    </row>
    <row r="291" spans="1:9" hidden="1" x14ac:dyDescent="0.35">
      <c r="A291" t="s">
        <v>270</v>
      </c>
      <c r="B291" t="s">
        <v>65</v>
      </c>
      <c r="C291" t="s">
        <v>271</v>
      </c>
      <c r="D291" t="s">
        <v>199</v>
      </c>
      <c r="E291" t="s">
        <v>29</v>
      </c>
      <c r="F291">
        <v>918700</v>
      </c>
      <c r="G291">
        <v>216000</v>
      </c>
      <c r="H291">
        <v>215798.59</v>
      </c>
      <c r="I291" t="s">
        <v>36</v>
      </c>
    </row>
    <row r="292" spans="1:9" hidden="1" x14ac:dyDescent="0.35">
      <c r="A292" t="s">
        <v>270</v>
      </c>
      <c r="B292" t="s">
        <v>65</v>
      </c>
      <c r="C292" t="s">
        <v>271</v>
      </c>
      <c r="D292" t="s">
        <v>199</v>
      </c>
      <c r="E292" t="s">
        <v>27</v>
      </c>
      <c r="F292">
        <v>3282000</v>
      </c>
      <c r="G292">
        <v>809000</v>
      </c>
      <c r="H292">
        <v>808723.53</v>
      </c>
      <c r="I292" t="s">
        <v>36</v>
      </c>
    </row>
    <row r="293" spans="1:9" hidden="1" x14ac:dyDescent="0.35">
      <c r="A293" t="s">
        <v>270</v>
      </c>
      <c r="B293" t="s">
        <v>65</v>
      </c>
      <c r="C293" t="s">
        <v>271</v>
      </c>
      <c r="D293" t="s">
        <v>199</v>
      </c>
      <c r="E293" t="s">
        <v>33</v>
      </c>
      <c r="F293">
        <v>1075500</v>
      </c>
      <c r="G293">
        <v>233000</v>
      </c>
      <c r="H293">
        <v>232338.18</v>
      </c>
      <c r="I293" t="s">
        <v>36</v>
      </c>
    </row>
    <row r="294" spans="1:9" hidden="1" x14ac:dyDescent="0.35">
      <c r="A294" t="s">
        <v>270</v>
      </c>
      <c r="B294" t="s">
        <v>65</v>
      </c>
      <c r="C294" t="s">
        <v>271</v>
      </c>
      <c r="D294" t="s">
        <v>199</v>
      </c>
      <c r="E294" t="s">
        <v>28</v>
      </c>
      <c r="F294">
        <v>981000</v>
      </c>
      <c r="G294">
        <v>237000</v>
      </c>
      <c r="H294">
        <v>236946.49</v>
      </c>
      <c r="I294" t="s">
        <v>36</v>
      </c>
    </row>
    <row r="295" spans="1:9" hidden="1" x14ac:dyDescent="0.35">
      <c r="A295" t="s">
        <v>272</v>
      </c>
      <c r="B295" t="s">
        <v>60</v>
      </c>
      <c r="C295" t="s">
        <v>273</v>
      </c>
      <c r="D295" t="s">
        <v>198</v>
      </c>
      <c r="E295" t="s">
        <v>44</v>
      </c>
      <c r="F295">
        <v>1100000</v>
      </c>
      <c r="G295">
        <v>70000</v>
      </c>
      <c r="H295">
        <v>67862.95</v>
      </c>
      <c r="I295" t="s">
        <v>36</v>
      </c>
    </row>
    <row r="296" spans="1:9" hidden="1" x14ac:dyDescent="0.35">
      <c r="A296" t="s">
        <v>272</v>
      </c>
      <c r="B296" t="s">
        <v>60</v>
      </c>
      <c r="C296" t="s">
        <v>273</v>
      </c>
      <c r="D296" t="s">
        <v>198</v>
      </c>
      <c r="E296" t="s">
        <v>45</v>
      </c>
      <c r="F296">
        <v>100000</v>
      </c>
      <c r="G296">
        <v>18000</v>
      </c>
      <c r="H296">
        <v>16623</v>
      </c>
      <c r="I296" t="s">
        <v>36</v>
      </c>
    </row>
    <row r="297" spans="1:9" hidden="1" x14ac:dyDescent="0.35">
      <c r="A297" t="s">
        <v>272</v>
      </c>
      <c r="B297" t="s">
        <v>60</v>
      </c>
      <c r="C297" t="s">
        <v>273</v>
      </c>
      <c r="D297" t="s">
        <v>198</v>
      </c>
      <c r="E297" t="s">
        <v>40</v>
      </c>
      <c r="F297">
        <v>100000</v>
      </c>
      <c r="G297">
        <v>18000</v>
      </c>
      <c r="H297">
        <v>16326.55</v>
      </c>
      <c r="I297" t="s">
        <v>36</v>
      </c>
    </row>
    <row r="298" spans="1:9" hidden="1" x14ac:dyDescent="0.35">
      <c r="A298" t="s">
        <v>272</v>
      </c>
      <c r="B298" t="s">
        <v>60</v>
      </c>
      <c r="C298" t="s">
        <v>273</v>
      </c>
      <c r="D298" t="s">
        <v>198</v>
      </c>
      <c r="E298" t="s">
        <v>16</v>
      </c>
      <c r="F298">
        <v>550000</v>
      </c>
      <c r="G298">
        <v>55000</v>
      </c>
      <c r="H298">
        <v>53851.03</v>
      </c>
      <c r="I298" t="s">
        <v>36</v>
      </c>
    </row>
    <row r="299" spans="1:9" hidden="1" x14ac:dyDescent="0.35">
      <c r="A299" t="s">
        <v>272</v>
      </c>
      <c r="B299" t="s">
        <v>60</v>
      </c>
      <c r="C299" t="s">
        <v>273</v>
      </c>
      <c r="D299" t="s">
        <v>198</v>
      </c>
      <c r="E299" t="s">
        <v>42</v>
      </c>
      <c r="F299">
        <v>130000</v>
      </c>
      <c r="G299">
        <v>12500</v>
      </c>
      <c r="H299">
        <v>11876.96</v>
      </c>
      <c r="I299" t="s">
        <v>36</v>
      </c>
    </row>
    <row r="300" spans="1:9" hidden="1" x14ac:dyDescent="0.35">
      <c r="A300" t="s">
        <v>272</v>
      </c>
      <c r="B300" t="s">
        <v>60</v>
      </c>
      <c r="C300" t="s">
        <v>273</v>
      </c>
      <c r="D300" t="s">
        <v>198</v>
      </c>
      <c r="E300" t="s">
        <v>5</v>
      </c>
      <c r="F300">
        <v>70000</v>
      </c>
      <c r="G300">
        <v>3000</v>
      </c>
      <c r="H300">
        <v>1698.3</v>
      </c>
      <c r="I300" t="s">
        <v>36</v>
      </c>
    </row>
    <row r="301" spans="1:9" hidden="1" x14ac:dyDescent="0.35">
      <c r="A301" t="s">
        <v>272</v>
      </c>
      <c r="B301" t="s">
        <v>60</v>
      </c>
      <c r="C301" t="s">
        <v>273</v>
      </c>
      <c r="D301" t="s">
        <v>198</v>
      </c>
      <c r="E301" t="s">
        <v>34</v>
      </c>
      <c r="F301">
        <v>115000</v>
      </c>
      <c r="G301">
        <v>17000</v>
      </c>
      <c r="H301">
        <v>15204.42</v>
      </c>
      <c r="I301" t="s">
        <v>36</v>
      </c>
    </row>
    <row r="302" spans="1:9" hidden="1" x14ac:dyDescent="0.35">
      <c r="A302" t="s">
        <v>272</v>
      </c>
      <c r="B302" t="s">
        <v>60</v>
      </c>
      <c r="C302" t="s">
        <v>273</v>
      </c>
      <c r="D302" t="s">
        <v>198</v>
      </c>
      <c r="E302" t="s">
        <v>13</v>
      </c>
      <c r="F302">
        <v>95000</v>
      </c>
      <c r="G302">
        <v>15000</v>
      </c>
      <c r="H302">
        <v>12237.91</v>
      </c>
      <c r="I302" t="s">
        <v>36</v>
      </c>
    </row>
    <row r="303" spans="1:9" hidden="1" x14ac:dyDescent="0.35">
      <c r="A303" t="s">
        <v>272</v>
      </c>
      <c r="B303" t="s">
        <v>60</v>
      </c>
      <c r="C303" t="s">
        <v>273</v>
      </c>
      <c r="D303" t="s">
        <v>198</v>
      </c>
      <c r="E303" t="s">
        <v>9</v>
      </c>
      <c r="F303">
        <v>145000</v>
      </c>
      <c r="G303">
        <v>30000</v>
      </c>
      <c r="H303">
        <v>27384.19</v>
      </c>
      <c r="I303" t="s">
        <v>36</v>
      </c>
    </row>
    <row r="304" spans="1:9" hidden="1" x14ac:dyDescent="0.35">
      <c r="A304" t="s">
        <v>272</v>
      </c>
      <c r="B304" t="s">
        <v>60</v>
      </c>
      <c r="C304" t="s">
        <v>273</v>
      </c>
      <c r="D304" t="s">
        <v>198</v>
      </c>
      <c r="E304" t="s">
        <v>11</v>
      </c>
      <c r="F304">
        <v>100000</v>
      </c>
      <c r="G304">
        <v>20000</v>
      </c>
      <c r="H304">
        <v>17158.919999999998</v>
      </c>
      <c r="I304" t="s">
        <v>36</v>
      </c>
    </row>
    <row r="305" spans="1:9" hidden="1" x14ac:dyDescent="0.35">
      <c r="A305" t="s">
        <v>272</v>
      </c>
      <c r="B305" t="s">
        <v>60</v>
      </c>
      <c r="C305" t="s">
        <v>273</v>
      </c>
      <c r="D305" t="s">
        <v>198</v>
      </c>
      <c r="E305" t="s">
        <v>15</v>
      </c>
      <c r="F305">
        <v>170000</v>
      </c>
      <c r="G305">
        <v>10000</v>
      </c>
      <c r="H305">
        <v>8497.83</v>
      </c>
      <c r="I305" t="s">
        <v>36</v>
      </c>
    </row>
    <row r="306" spans="1:9" hidden="1" x14ac:dyDescent="0.35">
      <c r="A306" t="s">
        <v>272</v>
      </c>
      <c r="B306" t="s">
        <v>60</v>
      </c>
      <c r="C306" t="s">
        <v>273</v>
      </c>
      <c r="D306" t="s">
        <v>198</v>
      </c>
      <c r="E306" t="s">
        <v>14</v>
      </c>
      <c r="F306">
        <v>140000</v>
      </c>
      <c r="G306">
        <v>1000</v>
      </c>
      <c r="H306">
        <v>161.38</v>
      </c>
      <c r="I306" t="s">
        <v>36</v>
      </c>
    </row>
    <row r="307" spans="1:9" hidden="1" x14ac:dyDescent="0.35">
      <c r="A307" t="s">
        <v>272</v>
      </c>
      <c r="B307" t="s">
        <v>60</v>
      </c>
      <c r="C307" t="s">
        <v>273</v>
      </c>
      <c r="D307" t="s">
        <v>198</v>
      </c>
      <c r="E307" t="s">
        <v>12</v>
      </c>
      <c r="F307">
        <v>130000</v>
      </c>
      <c r="G307">
        <v>25000</v>
      </c>
      <c r="H307">
        <v>21046.1</v>
      </c>
      <c r="I307" t="s">
        <v>36</v>
      </c>
    </row>
    <row r="308" spans="1:9" hidden="1" x14ac:dyDescent="0.35">
      <c r="A308" t="s">
        <v>272</v>
      </c>
      <c r="B308" t="s">
        <v>60</v>
      </c>
      <c r="C308" t="s">
        <v>273</v>
      </c>
      <c r="D308" t="s">
        <v>198</v>
      </c>
      <c r="E308" t="s">
        <v>7</v>
      </c>
      <c r="F308">
        <v>218742.22</v>
      </c>
      <c r="G308">
        <v>35742.22</v>
      </c>
      <c r="H308">
        <v>34704.199999999997</v>
      </c>
      <c r="I308" t="s">
        <v>36</v>
      </c>
    </row>
    <row r="309" spans="1:9" hidden="1" x14ac:dyDescent="0.35">
      <c r="A309" t="s">
        <v>272</v>
      </c>
      <c r="B309" t="s">
        <v>60</v>
      </c>
      <c r="C309" t="s">
        <v>273</v>
      </c>
      <c r="D309" t="s">
        <v>198</v>
      </c>
      <c r="E309" t="s">
        <v>7</v>
      </c>
      <c r="F309">
        <v>1257.78</v>
      </c>
      <c r="G309">
        <v>1257.78</v>
      </c>
      <c r="H309">
        <v>1139.3599999999999</v>
      </c>
      <c r="I309" t="s">
        <v>36</v>
      </c>
    </row>
    <row r="310" spans="1:9" hidden="1" x14ac:dyDescent="0.35">
      <c r="A310" t="s">
        <v>272</v>
      </c>
      <c r="B310" t="s">
        <v>60</v>
      </c>
      <c r="C310" t="s">
        <v>273</v>
      </c>
      <c r="D310" t="s">
        <v>198</v>
      </c>
      <c r="E310" t="s">
        <v>41</v>
      </c>
      <c r="F310">
        <v>70000</v>
      </c>
      <c r="G310">
        <v>500</v>
      </c>
      <c r="H310">
        <v>337.7</v>
      </c>
      <c r="I310" t="s">
        <v>36</v>
      </c>
    </row>
    <row r="311" spans="1:9" hidden="1" x14ac:dyDescent="0.35">
      <c r="A311" t="s">
        <v>272</v>
      </c>
      <c r="B311" t="s">
        <v>60</v>
      </c>
      <c r="C311" t="s">
        <v>273</v>
      </c>
      <c r="D311" t="s">
        <v>198</v>
      </c>
      <c r="E311" t="s">
        <v>6</v>
      </c>
      <c r="F311">
        <v>85000</v>
      </c>
      <c r="G311">
        <v>10000</v>
      </c>
      <c r="H311">
        <v>7434.58</v>
      </c>
      <c r="I311" t="s">
        <v>36</v>
      </c>
    </row>
    <row r="312" spans="1:9" hidden="1" x14ac:dyDescent="0.35">
      <c r="A312" t="s">
        <v>272</v>
      </c>
      <c r="B312" t="s">
        <v>60</v>
      </c>
      <c r="C312" t="s">
        <v>273</v>
      </c>
      <c r="D312" t="s">
        <v>198</v>
      </c>
      <c r="E312" t="s">
        <v>8</v>
      </c>
      <c r="F312">
        <v>300000</v>
      </c>
      <c r="G312">
        <v>5000</v>
      </c>
      <c r="H312">
        <v>3002.4</v>
      </c>
      <c r="I312" t="s">
        <v>36</v>
      </c>
    </row>
    <row r="313" spans="1:9" hidden="1" x14ac:dyDescent="0.35">
      <c r="A313" t="s">
        <v>272</v>
      </c>
      <c r="B313" t="s">
        <v>60</v>
      </c>
      <c r="C313" t="s">
        <v>273</v>
      </c>
      <c r="D313" t="s">
        <v>198</v>
      </c>
      <c r="E313" t="s">
        <v>10</v>
      </c>
      <c r="F313">
        <v>70000</v>
      </c>
      <c r="G313">
        <v>15000</v>
      </c>
      <c r="H313">
        <v>14988.95</v>
      </c>
      <c r="I313" t="s">
        <v>36</v>
      </c>
    </row>
    <row r="314" spans="1:9" hidden="1" x14ac:dyDescent="0.35">
      <c r="A314" t="s">
        <v>272</v>
      </c>
      <c r="B314" t="s">
        <v>60</v>
      </c>
      <c r="C314" t="s">
        <v>273</v>
      </c>
      <c r="D314" t="s">
        <v>199</v>
      </c>
      <c r="E314" t="s">
        <v>24</v>
      </c>
      <c r="F314">
        <v>65000</v>
      </c>
      <c r="G314">
        <v>10000</v>
      </c>
      <c r="H314">
        <v>9426.07</v>
      </c>
      <c r="I314" t="s">
        <v>36</v>
      </c>
    </row>
    <row r="315" spans="1:9" hidden="1" x14ac:dyDescent="0.35">
      <c r="A315" t="s">
        <v>272</v>
      </c>
      <c r="B315" t="s">
        <v>60</v>
      </c>
      <c r="C315" t="s">
        <v>273</v>
      </c>
      <c r="D315" t="s">
        <v>199</v>
      </c>
      <c r="E315" t="s">
        <v>19</v>
      </c>
      <c r="F315">
        <v>100000</v>
      </c>
      <c r="G315">
        <v>17000</v>
      </c>
      <c r="H315">
        <v>16918.580000000002</v>
      </c>
      <c r="I315" t="s">
        <v>36</v>
      </c>
    </row>
    <row r="316" spans="1:9" hidden="1" x14ac:dyDescent="0.35">
      <c r="A316" t="s">
        <v>272</v>
      </c>
      <c r="B316" t="s">
        <v>60</v>
      </c>
      <c r="C316" t="s">
        <v>273</v>
      </c>
      <c r="D316" t="s">
        <v>199</v>
      </c>
      <c r="E316" t="s">
        <v>25</v>
      </c>
      <c r="F316">
        <v>90000</v>
      </c>
      <c r="G316">
        <v>17000</v>
      </c>
      <c r="H316">
        <v>15212.98</v>
      </c>
      <c r="I316" t="s">
        <v>36</v>
      </c>
    </row>
    <row r="317" spans="1:9" hidden="1" x14ac:dyDescent="0.35">
      <c r="A317" t="s">
        <v>272</v>
      </c>
      <c r="B317" t="s">
        <v>60</v>
      </c>
      <c r="C317" t="s">
        <v>273</v>
      </c>
      <c r="D317" t="s">
        <v>199</v>
      </c>
      <c r="E317" t="s">
        <v>26</v>
      </c>
      <c r="F317">
        <v>80000</v>
      </c>
      <c r="G317">
        <v>20000</v>
      </c>
      <c r="H317">
        <v>13753.36</v>
      </c>
      <c r="I317" t="s">
        <v>36</v>
      </c>
    </row>
    <row r="318" spans="1:9" hidden="1" x14ac:dyDescent="0.35">
      <c r="A318" t="s">
        <v>272</v>
      </c>
      <c r="B318" t="s">
        <v>60</v>
      </c>
      <c r="C318" t="s">
        <v>273</v>
      </c>
      <c r="D318" t="s">
        <v>199</v>
      </c>
      <c r="E318" t="s">
        <v>30</v>
      </c>
      <c r="F318">
        <v>100000</v>
      </c>
      <c r="G318">
        <v>20000</v>
      </c>
      <c r="H318">
        <v>16827.47</v>
      </c>
      <c r="I318" t="s">
        <v>36</v>
      </c>
    </row>
    <row r="319" spans="1:9" hidden="1" x14ac:dyDescent="0.35">
      <c r="A319" t="s">
        <v>272</v>
      </c>
      <c r="B319" t="s">
        <v>60</v>
      </c>
      <c r="C319" t="s">
        <v>273</v>
      </c>
      <c r="D319" t="s">
        <v>199</v>
      </c>
      <c r="E319" t="s">
        <v>35</v>
      </c>
      <c r="F319">
        <v>100000</v>
      </c>
      <c r="G319">
        <v>10000</v>
      </c>
      <c r="H319">
        <v>7245.57</v>
      </c>
      <c r="I319" t="s">
        <v>36</v>
      </c>
    </row>
    <row r="320" spans="1:9" hidden="1" x14ac:dyDescent="0.35">
      <c r="A320" t="s">
        <v>272</v>
      </c>
      <c r="B320" t="s">
        <v>60</v>
      </c>
      <c r="C320" t="s">
        <v>273</v>
      </c>
      <c r="D320" t="s">
        <v>199</v>
      </c>
      <c r="E320" t="s">
        <v>22</v>
      </c>
      <c r="F320">
        <v>70000</v>
      </c>
      <c r="G320">
        <v>15000</v>
      </c>
      <c r="H320">
        <v>12475.22</v>
      </c>
      <c r="I320" t="s">
        <v>36</v>
      </c>
    </row>
    <row r="321" spans="1:9" hidden="1" x14ac:dyDescent="0.35">
      <c r="A321" t="s">
        <v>272</v>
      </c>
      <c r="B321" t="s">
        <v>60</v>
      </c>
      <c r="C321" t="s">
        <v>273</v>
      </c>
      <c r="D321" t="s">
        <v>199</v>
      </c>
      <c r="E321" t="s">
        <v>21</v>
      </c>
      <c r="F321">
        <v>80000</v>
      </c>
      <c r="G321">
        <v>5000</v>
      </c>
      <c r="H321">
        <v>3416.11</v>
      </c>
      <c r="I321" t="s">
        <v>36</v>
      </c>
    </row>
    <row r="322" spans="1:9" hidden="1" x14ac:dyDescent="0.35">
      <c r="A322" t="s">
        <v>272</v>
      </c>
      <c r="B322" t="s">
        <v>60</v>
      </c>
      <c r="C322" t="s">
        <v>273</v>
      </c>
      <c r="D322" t="s">
        <v>199</v>
      </c>
      <c r="E322" t="s">
        <v>18</v>
      </c>
      <c r="F322">
        <v>130000</v>
      </c>
      <c r="G322">
        <v>36000</v>
      </c>
      <c r="H322">
        <v>35864.199999999997</v>
      </c>
      <c r="I322" t="s">
        <v>36</v>
      </c>
    </row>
    <row r="323" spans="1:9" hidden="1" x14ac:dyDescent="0.35">
      <c r="A323" t="s">
        <v>272</v>
      </c>
      <c r="B323" t="s">
        <v>60</v>
      </c>
      <c r="C323" t="s">
        <v>273</v>
      </c>
      <c r="D323" t="s">
        <v>199</v>
      </c>
      <c r="E323" t="s">
        <v>23</v>
      </c>
      <c r="F323">
        <v>90000</v>
      </c>
      <c r="G323">
        <v>20000</v>
      </c>
      <c r="H323">
        <v>17108.29</v>
      </c>
      <c r="I323" t="s">
        <v>36</v>
      </c>
    </row>
    <row r="324" spans="1:9" hidden="1" x14ac:dyDescent="0.35">
      <c r="A324" t="s">
        <v>272</v>
      </c>
      <c r="B324" t="s">
        <v>60</v>
      </c>
      <c r="C324" t="s">
        <v>273</v>
      </c>
      <c r="D324" t="s">
        <v>199</v>
      </c>
      <c r="E324" t="s">
        <v>32</v>
      </c>
      <c r="F324">
        <v>100000</v>
      </c>
      <c r="G324">
        <v>15000</v>
      </c>
      <c r="H324">
        <v>14327.07</v>
      </c>
      <c r="I324" t="s">
        <v>36</v>
      </c>
    </row>
    <row r="325" spans="1:9" hidden="1" x14ac:dyDescent="0.35">
      <c r="A325" t="s">
        <v>272</v>
      </c>
      <c r="B325" t="s">
        <v>60</v>
      </c>
      <c r="C325" t="s">
        <v>273</v>
      </c>
      <c r="D325" t="s">
        <v>199</v>
      </c>
      <c r="E325" t="s">
        <v>20</v>
      </c>
      <c r="F325">
        <v>80000</v>
      </c>
      <c r="G325">
        <v>7000</v>
      </c>
      <c r="H325">
        <v>6438.7</v>
      </c>
      <c r="I325" t="s">
        <v>36</v>
      </c>
    </row>
    <row r="326" spans="1:9" hidden="1" x14ac:dyDescent="0.35">
      <c r="A326" t="s">
        <v>272</v>
      </c>
      <c r="B326" t="s">
        <v>60</v>
      </c>
      <c r="C326" t="s">
        <v>273</v>
      </c>
      <c r="D326" t="s">
        <v>199</v>
      </c>
      <c r="E326" t="s">
        <v>31</v>
      </c>
      <c r="F326">
        <v>135000</v>
      </c>
      <c r="G326">
        <v>18000</v>
      </c>
      <c r="H326">
        <v>16994.330000000002</v>
      </c>
      <c r="I326" t="s">
        <v>36</v>
      </c>
    </row>
    <row r="327" spans="1:9" hidden="1" x14ac:dyDescent="0.35">
      <c r="A327" t="s">
        <v>272</v>
      </c>
      <c r="B327" t="s">
        <v>60</v>
      </c>
      <c r="C327" t="s">
        <v>273</v>
      </c>
      <c r="D327" t="s">
        <v>199</v>
      </c>
      <c r="E327" t="s">
        <v>43</v>
      </c>
      <c r="F327">
        <v>90000</v>
      </c>
      <c r="G327">
        <v>15000</v>
      </c>
      <c r="H327">
        <v>11325.42</v>
      </c>
      <c r="I327" t="s">
        <v>36</v>
      </c>
    </row>
    <row r="328" spans="1:9" hidden="1" x14ac:dyDescent="0.35">
      <c r="A328" t="s">
        <v>272</v>
      </c>
      <c r="B328" t="s">
        <v>60</v>
      </c>
      <c r="C328" t="s">
        <v>273</v>
      </c>
      <c r="D328" t="s">
        <v>199</v>
      </c>
      <c r="E328" t="s">
        <v>17</v>
      </c>
      <c r="F328">
        <v>90000</v>
      </c>
      <c r="G328">
        <v>15000</v>
      </c>
      <c r="H328">
        <v>14694.24</v>
      </c>
      <c r="I328" t="s">
        <v>36</v>
      </c>
    </row>
    <row r="329" spans="1:9" hidden="1" x14ac:dyDescent="0.35">
      <c r="A329" t="s">
        <v>272</v>
      </c>
      <c r="B329" t="s">
        <v>60</v>
      </c>
      <c r="C329" t="s">
        <v>273</v>
      </c>
      <c r="D329" t="s">
        <v>199</v>
      </c>
      <c r="E329" t="s">
        <v>29</v>
      </c>
      <c r="F329">
        <v>90000</v>
      </c>
      <c r="G329">
        <v>15000</v>
      </c>
      <c r="H329">
        <v>11629.71</v>
      </c>
      <c r="I329" t="s">
        <v>36</v>
      </c>
    </row>
    <row r="330" spans="1:9" hidden="1" x14ac:dyDescent="0.35">
      <c r="A330" t="s">
        <v>272</v>
      </c>
      <c r="B330" t="s">
        <v>60</v>
      </c>
      <c r="C330" t="s">
        <v>273</v>
      </c>
      <c r="D330" t="s">
        <v>199</v>
      </c>
      <c r="E330" t="s">
        <v>27</v>
      </c>
      <c r="F330">
        <v>140000</v>
      </c>
      <c r="G330">
        <v>25000</v>
      </c>
      <c r="H330">
        <v>23650.87</v>
      </c>
      <c r="I330" t="s">
        <v>36</v>
      </c>
    </row>
    <row r="331" spans="1:9" hidden="1" x14ac:dyDescent="0.35">
      <c r="A331" t="s">
        <v>272</v>
      </c>
      <c r="B331" t="s">
        <v>60</v>
      </c>
      <c r="C331" t="s">
        <v>273</v>
      </c>
      <c r="D331" t="s">
        <v>199</v>
      </c>
      <c r="E331" t="s">
        <v>33</v>
      </c>
      <c r="F331">
        <v>90000</v>
      </c>
      <c r="G331">
        <v>7000</v>
      </c>
      <c r="H331">
        <v>5091.38</v>
      </c>
      <c r="I331" t="s">
        <v>36</v>
      </c>
    </row>
    <row r="332" spans="1:9" hidden="1" x14ac:dyDescent="0.35">
      <c r="A332" t="s">
        <v>272</v>
      </c>
      <c r="B332" t="s">
        <v>60</v>
      </c>
      <c r="C332" t="s">
        <v>273</v>
      </c>
      <c r="D332" t="s">
        <v>199</v>
      </c>
      <c r="E332" t="s">
        <v>28</v>
      </c>
      <c r="F332">
        <v>90000</v>
      </c>
      <c r="G332">
        <v>5000</v>
      </c>
      <c r="H332">
        <v>4594.3999999999996</v>
      </c>
      <c r="I332" t="s">
        <v>36</v>
      </c>
    </row>
    <row r="333" spans="1:9" hidden="1" x14ac:dyDescent="0.35">
      <c r="A333" t="s">
        <v>274</v>
      </c>
      <c r="B333" t="s">
        <v>57</v>
      </c>
      <c r="C333" t="s">
        <v>275</v>
      </c>
      <c r="D333" t="s">
        <v>198</v>
      </c>
      <c r="E333" t="s">
        <v>16</v>
      </c>
      <c r="F333">
        <v>1213000</v>
      </c>
      <c r="G333">
        <v>220000</v>
      </c>
      <c r="H333">
        <v>216908.65</v>
      </c>
      <c r="I333" t="s">
        <v>36</v>
      </c>
    </row>
    <row r="334" spans="1:9" hidden="1" x14ac:dyDescent="0.35">
      <c r="A334" t="s">
        <v>274</v>
      </c>
      <c r="B334" t="s">
        <v>57</v>
      </c>
      <c r="C334" t="s">
        <v>275</v>
      </c>
      <c r="D334" t="s">
        <v>198</v>
      </c>
      <c r="E334" t="s">
        <v>42</v>
      </c>
      <c r="F334">
        <v>200000</v>
      </c>
      <c r="G334">
        <v>23000</v>
      </c>
      <c r="H334">
        <v>21926.06</v>
      </c>
      <c r="I334" t="s">
        <v>36</v>
      </c>
    </row>
    <row r="335" spans="1:9" hidden="1" x14ac:dyDescent="0.35">
      <c r="A335" t="s">
        <v>274</v>
      </c>
      <c r="B335" t="s">
        <v>57</v>
      </c>
      <c r="C335" t="s">
        <v>275</v>
      </c>
      <c r="D335" t="s">
        <v>199</v>
      </c>
      <c r="E335" t="s">
        <v>24</v>
      </c>
      <c r="F335">
        <v>39300</v>
      </c>
      <c r="G335">
        <v>9300</v>
      </c>
      <c r="H335">
        <v>6878.12</v>
      </c>
      <c r="I335" t="s">
        <v>36</v>
      </c>
    </row>
    <row r="336" spans="1:9" hidden="1" x14ac:dyDescent="0.35">
      <c r="A336" t="s">
        <v>274</v>
      </c>
      <c r="B336" t="s">
        <v>57</v>
      </c>
      <c r="C336" t="s">
        <v>275</v>
      </c>
      <c r="D336" t="s">
        <v>199</v>
      </c>
      <c r="E336" t="s">
        <v>19</v>
      </c>
      <c r="F336">
        <v>73600</v>
      </c>
      <c r="G336">
        <v>12000</v>
      </c>
      <c r="H336">
        <v>10701.89</v>
      </c>
      <c r="I336" t="s">
        <v>36</v>
      </c>
    </row>
    <row r="337" spans="1:9" hidden="1" x14ac:dyDescent="0.35">
      <c r="A337" t="s">
        <v>274</v>
      </c>
      <c r="B337" t="s">
        <v>57</v>
      </c>
      <c r="C337" t="s">
        <v>275</v>
      </c>
      <c r="D337" t="s">
        <v>199</v>
      </c>
      <c r="E337" t="s">
        <v>25</v>
      </c>
      <c r="F337">
        <v>32000</v>
      </c>
      <c r="G337">
        <v>5000</v>
      </c>
      <c r="H337">
        <v>3767.3</v>
      </c>
      <c r="I337" t="s">
        <v>36</v>
      </c>
    </row>
    <row r="338" spans="1:9" hidden="1" x14ac:dyDescent="0.35">
      <c r="A338" t="s">
        <v>274</v>
      </c>
      <c r="B338" t="s">
        <v>57</v>
      </c>
      <c r="C338" t="s">
        <v>275</v>
      </c>
      <c r="D338" t="s">
        <v>199</v>
      </c>
      <c r="E338" t="s">
        <v>26</v>
      </c>
      <c r="F338">
        <v>33500</v>
      </c>
      <c r="G338">
        <v>8000</v>
      </c>
      <c r="H338">
        <v>6761.93</v>
      </c>
      <c r="I338" t="s">
        <v>36</v>
      </c>
    </row>
    <row r="339" spans="1:9" hidden="1" x14ac:dyDescent="0.35">
      <c r="A339" t="s">
        <v>274</v>
      </c>
      <c r="B339" t="s">
        <v>57</v>
      </c>
      <c r="C339" t="s">
        <v>275</v>
      </c>
      <c r="D339" t="s">
        <v>199</v>
      </c>
      <c r="E339" t="s">
        <v>30</v>
      </c>
      <c r="F339">
        <v>80500</v>
      </c>
      <c r="G339">
        <v>13000</v>
      </c>
      <c r="H339">
        <v>10390.31</v>
      </c>
      <c r="I339" t="s">
        <v>36</v>
      </c>
    </row>
    <row r="340" spans="1:9" hidden="1" x14ac:dyDescent="0.35">
      <c r="A340" t="s">
        <v>274</v>
      </c>
      <c r="B340" t="s">
        <v>57</v>
      </c>
      <c r="C340" t="s">
        <v>275</v>
      </c>
      <c r="D340" t="s">
        <v>199</v>
      </c>
      <c r="E340" t="s">
        <v>35</v>
      </c>
      <c r="F340">
        <v>72500</v>
      </c>
      <c r="G340">
        <v>12000</v>
      </c>
      <c r="H340">
        <v>9617.4699999999993</v>
      </c>
      <c r="I340" t="s">
        <v>36</v>
      </c>
    </row>
    <row r="341" spans="1:9" hidden="1" x14ac:dyDescent="0.35">
      <c r="A341" t="s">
        <v>274</v>
      </c>
      <c r="B341" t="s">
        <v>57</v>
      </c>
      <c r="C341" t="s">
        <v>275</v>
      </c>
      <c r="D341" t="s">
        <v>199</v>
      </c>
      <c r="E341" t="s">
        <v>22</v>
      </c>
      <c r="F341">
        <v>81300</v>
      </c>
      <c r="G341">
        <v>10000</v>
      </c>
      <c r="H341">
        <v>8762.15</v>
      </c>
      <c r="I341" t="s">
        <v>36</v>
      </c>
    </row>
    <row r="342" spans="1:9" hidden="1" x14ac:dyDescent="0.35">
      <c r="A342" t="s">
        <v>274</v>
      </c>
      <c r="B342" t="s">
        <v>57</v>
      </c>
      <c r="C342" t="s">
        <v>275</v>
      </c>
      <c r="D342" t="s">
        <v>199</v>
      </c>
      <c r="E342" t="s">
        <v>21</v>
      </c>
      <c r="F342">
        <v>58800</v>
      </c>
      <c r="G342">
        <v>10000</v>
      </c>
      <c r="H342">
        <v>7245.4</v>
      </c>
      <c r="I342" t="s">
        <v>36</v>
      </c>
    </row>
    <row r="343" spans="1:9" hidden="1" x14ac:dyDescent="0.35">
      <c r="A343" t="s">
        <v>274</v>
      </c>
      <c r="B343" t="s">
        <v>57</v>
      </c>
      <c r="C343" t="s">
        <v>275</v>
      </c>
      <c r="D343" t="s">
        <v>199</v>
      </c>
      <c r="E343" t="s">
        <v>18</v>
      </c>
      <c r="F343">
        <v>118500</v>
      </c>
      <c r="G343">
        <v>26000</v>
      </c>
      <c r="H343">
        <v>24503.65</v>
      </c>
      <c r="I343" t="s">
        <v>36</v>
      </c>
    </row>
    <row r="344" spans="1:9" hidden="1" x14ac:dyDescent="0.35">
      <c r="A344" t="s">
        <v>274</v>
      </c>
      <c r="B344" t="s">
        <v>57</v>
      </c>
      <c r="C344" t="s">
        <v>275</v>
      </c>
      <c r="D344" t="s">
        <v>199</v>
      </c>
      <c r="E344" t="s">
        <v>23</v>
      </c>
      <c r="F344">
        <v>71900</v>
      </c>
      <c r="G344">
        <v>15000</v>
      </c>
      <c r="H344">
        <v>12126.75</v>
      </c>
      <c r="I344" t="s">
        <v>36</v>
      </c>
    </row>
    <row r="345" spans="1:9" hidden="1" x14ac:dyDescent="0.35">
      <c r="A345" t="s">
        <v>274</v>
      </c>
      <c r="B345" t="s">
        <v>57</v>
      </c>
      <c r="C345" t="s">
        <v>275</v>
      </c>
      <c r="D345" t="s">
        <v>199</v>
      </c>
      <c r="E345" t="s">
        <v>32</v>
      </c>
      <c r="F345">
        <v>55000</v>
      </c>
      <c r="G345">
        <v>8000</v>
      </c>
      <c r="H345">
        <v>5214.8</v>
      </c>
      <c r="I345" t="s">
        <v>36</v>
      </c>
    </row>
    <row r="346" spans="1:9" hidden="1" x14ac:dyDescent="0.35">
      <c r="A346" t="s">
        <v>274</v>
      </c>
      <c r="B346" t="s">
        <v>57</v>
      </c>
      <c r="C346" t="s">
        <v>275</v>
      </c>
      <c r="D346" t="s">
        <v>199</v>
      </c>
      <c r="E346" t="s">
        <v>20</v>
      </c>
      <c r="F346">
        <v>59000</v>
      </c>
      <c r="G346">
        <v>10000</v>
      </c>
      <c r="H346">
        <v>8107.1</v>
      </c>
      <c r="I346" t="s">
        <v>36</v>
      </c>
    </row>
    <row r="347" spans="1:9" hidden="1" x14ac:dyDescent="0.35">
      <c r="A347" t="s">
        <v>274</v>
      </c>
      <c r="B347" t="s">
        <v>57</v>
      </c>
      <c r="C347" t="s">
        <v>275</v>
      </c>
      <c r="D347" t="s">
        <v>199</v>
      </c>
      <c r="E347" t="s">
        <v>31</v>
      </c>
      <c r="F347">
        <v>90000</v>
      </c>
      <c r="G347">
        <v>20000</v>
      </c>
      <c r="H347">
        <v>18954.63</v>
      </c>
      <c r="I347" t="s">
        <v>36</v>
      </c>
    </row>
    <row r="348" spans="1:9" hidden="1" x14ac:dyDescent="0.35">
      <c r="A348" t="s">
        <v>274</v>
      </c>
      <c r="B348" t="s">
        <v>57</v>
      </c>
      <c r="C348" t="s">
        <v>275</v>
      </c>
      <c r="D348" t="s">
        <v>199</v>
      </c>
      <c r="E348" t="s">
        <v>43</v>
      </c>
      <c r="F348">
        <v>31500</v>
      </c>
      <c r="G348">
        <v>6000</v>
      </c>
      <c r="H348">
        <v>4097.99</v>
      </c>
      <c r="I348" t="s">
        <v>36</v>
      </c>
    </row>
    <row r="349" spans="1:9" hidden="1" x14ac:dyDescent="0.35">
      <c r="A349" t="s">
        <v>274</v>
      </c>
      <c r="B349" t="s">
        <v>57</v>
      </c>
      <c r="C349" t="s">
        <v>275</v>
      </c>
      <c r="D349" t="s">
        <v>199</v>
      </c>
      <c r="E349" t="s">
        <v>17</v>
      </c>
      <c r="F349">
        <v>37500</v>
      </c>
      <c r="G349">
        <v>7000</v>
      </c>
      <c r="H349">
        <v>5863.31</v>
      </c>
      <c r="I349" t="s">
        <v>36</v>
      </c>
    </row>
    <row r="350" spans="1:9" hidden="1" x14ac:dyDescent="0.35">
      <c r="A350" t="s">
        <v>274</v>
      </c>
      <c r="B350" t="s">
        <v>57</v>
      </c>
      <c r="C350" t="s">
        <v>275</v>
      </c>
      <c r="D350" t="s">
        <v>199</v>
      </c>
      <c r="E350" t="s">
        <v>29</v>
      </c>
      <c r="F350">
        <v>32800</v>
      </c>
      <c r="G350">
        <v>7000</v>
      </c>
      <c r="H350">
        <v>5937.12</v>
      </c>
      <c r="I350" t="s">
        <v>36</v>
      </c>
    </row>
    <row r="351" spans="1:9" hidden="1" x14ac:dyDescent="0.35">
      <c r="A351" t="s">
        <v>274</v>
      </c>
      <c r="B351" t="s">
        <v>57</v>
      </c>
      <c r="C351" t="s">
        <v>275</v>
      </c>
      <c r="D351" t="s">
        <v>199</v>
      </c>
      <c r="E351" t="s">
        <v>27</v>
      </c>
      <c r="F351">
        <v>55500</v>
      </c>
      <c r="G351">
        <v>10000</v>
      </c>
      <c r="H351">
        <v>6761.22</v>
      </c>
      <c r="I351" t="s">
        <v>36</v>
      </c>
    </row>
    <row r="352" spans="1:9" hidden="1" x14ac:dyDescent="0.35">
      <c r="A352" t="s">
        <v>274</v>
      </c>
      <c r="B352" t="s">
        <v>57</v>
      </c>
      <c r="C352" t="s">
        <v>275</v>
      </c>
      <c r="D352" t="s">
        <v>199</v>
      </c>
      <c r="E352" t="s">
        <v>33</v>
      </c>
      <c r="F352">
        <v>31800</v>
      </c>
      <c r="G352">
        <v>5000</v>
      </c>
      <c r="H352">
        <v>2339.6799999999998</v>
      </c>
      <c r="I352" t="s">
        <v>36</v>
      </c>
    </row>
    <row r="353" spans="1:9" hidden="1" x14ac:dyDescent="0.35">
      <c r="A353" t="s">
        <v>274</v>
      </c>
      <c r="B353" t="s">
        <v>57</v>
      </c>
      <c r="C353" t="s">
        <v>275</v>
      </c>
      <c r="D353" t="s">
        <v>199</v>
      </c>
      <c r="E353" t="s">
        <v>28</v>
      </c>
      <c r="F353">
        <v>32000</v>
      </c>
      <c r="G353">
        <v>7000</v>
      </c>
      <c r="H353">
        <v>5789</v>
      </c>
      <c r="I353" t="s">
        <v>36</v>
      </c>
    </row>
    <row r="354" spans="1:9" hidden="1" x14ac:dyDescent="0.35">
      <c r="A354" t="s">
        <v>200</v>
      </c>
      <c r="B354" t="s">
        <v>62</v>
      </c>
      <c r="C354" t="s">
        <v>201</v>
      </c>
      <c r="D354" t="s">
        <v>198</v>
      </c>
      <c r="E354" t="s">
        <v>16</v>
      </c>
      <c r="F354">
        <v>460900</v>
      </c>
      <c r="G354">
        <v>170000</v>
      </c>
      <c r="H354">
        <v>161000.20000000001</v>
      </c>
      <c r="I354" t="s">
        <v>36</v>
      </c>
    </row>
    <row r="355" spans="1:9" hidden="1" x14ac:dyDescent="0.35">
      <c r="A355" t="s">
        <v>200</v>
      </c>
      <c r="B355" t="s">
        <v>62</v>
      </c>
      <c r="C355" t="s">
        <v>201</v>
      </c>
      <c r="D355" t="s">
        <v>198</v>
      </c>
      <c r="E355" t="s">
        <v>34</v>
      </c>
      <c r="F355">
        <v>100000</v>
      </c>
      <c r="G355">
        <v>25000</v>
      </c>
      <c r="H355">
        <v>23582.04</v>
      </c>
      <c r="I355" t="s">
        <v>36</v>
      </c>
    </row>
    <row r="356" spans="1:9" hidden="1" x14ac:dyDescent="0.35">
      <c r="A356" t="s">
        <v>200</v>
      </c>
      <c r="B356" t="s">
        <v>62</v>
      </c>
      <c r="C356" t="s">
        <v>201</v>
      </c>
      <c r="D356" t="s">
        <v>199</v>
      </c>
      <c r="E356" t="s">
        <v>24</v>
      </c>
      <c r="F356">
        <v>138500</v>
      </c>
      <c r="G356">
        <v>34700</v>
      </c>
      <c r="H356">
        <v>34277</v>
      </c>
      <c r="I356" t="s">
        <v>36</v>
      </c>
    </row>
    <row r="357" spans="1:9" hidden="1" x14ac:dyDescent="0.35">
      <c r="A357" t="s">
        <v>200</v>
      </c>
      <c r="B357" t="s">
        <v>62</v>
      </c>
      <c r="C357" t="s">
        <v>201</v>
      </c>
      <c r="D357" t="s">
        <v>199</v>
      </c>
      <c r="E357" t="s">
        <v>19</v>
      </c>
      <c r="F357">
        <v>26300</v>
      </c>
      <c r="G357">
        <v>7000</v>
      </c>
      <c r="H357">
        <v>5257</v>
      </c>
      <c r="I357" t="s">
        <v>36</v>
      </c>
    </row>
    <row r="358" spans="1:9" hidden="1" x14ac:dyDescent="0.35">
      <c r="A358" t="s">
        <v>200</v>
      </c>
      <c r="B358" t="s">
        <v>62</v>
      </c>
      <c r="C358" t="s">
        <v>201</v>
      </c>
      <c r="D358" t="s">
        <v>199</v>
      </c>
      <c r="E358" t="s">
        <v>25</v>
      </c>
      <c r="F358">
        <v>285000</v>
      </c>
      <c r="G358">
        <v>71300</v>
      </c>
      <c r="H358">
        <v>85920.2</v>
      </c>
      <c r="I358" t="s">
        <v>36</v>
      </c>
    </row>
    <row r="359" spans="1:9" hidden="1" x14ac:dyDescent="0.35">
      <c r="A359" t="s">
        <v>200</v>
      </c>
      <c r="B359" t="s">
        <v>62</v>
      </c>
      <c r="C359" t="s">
        <v>201</v>
      </c>
      <c r="D359" t="s">
        <v>199</v>
      </c>
      <c r="E359" t="s">
        <v>26</v>
      </c>
      <c r="F359">
        <v>332000</v>
      </c>
      <c r="G359">
        <v>135000</v>
      </c>
      <c r="H359">
        <v>130592.3</v>
      </c>
      <c r="I359" t="s">
        <v>36</v>
      </c>
    </row>
    <row r="360" spans="1:9" hidden="1" x14ac:dyDescent="0.35">
      <c r="A360" t="s">
        <v>200</v>
      </c>
      <c r="B360" t="s">
        <v>62</v>
      </c>
      <c r="C360" t="s">
        <v>201</v>
      </c>
      <c r="D360" t="s">
        <v>199</v>
      </c>
      <c r="E360" t="s">
        <v>30</v>
      </c>
      <c r="F360">
        <v>998800</v>
      </c>
      <c r="G360">
        <v>249700</v>
      </c>
      <c r="H360">
        <v>230168.74</v>
      </c>
      <c r="I360" t="s">
        <v>36</v>
      </c>
    </row>
    <row r="361" spans="1:9" hidden="1" x14ac:dyDescent="0.35">
      <c r="A361" t="s">
        <v>200</v>
      </c>
      <c r="B361" t="s">
        <v>62</v>
      </c>
      <c r="C361" t="s">
        <v>201</v>
      </c>
      <c r="D361" t="s">
        <v>199</v>
      </c>
      <c r="E361" t="s">
        <v>35</v>
      </c>
      <c r="F361">
        <v>1310000</v>
      </c>
      <c r="G361">
        <v>327500</v>
      </c>
      <c r="H361">
        <v>327252.18</v>
      </c>
      <c r="I361" t="s">
        <v>36</v>
      </c>
    </row>
    <row r="362" spans="1:9" hidden="1" x14ac:dyDescent="0.35">
      <c r="A362" t="s">
        <v>200</v>
      </c>
      <c r="B362" t="s">
        <v>62</v>
      </c>
      <c r="C362" t="s">
        <v>201</v>
      </c>
      <c r="D362" t="s">
        <v>199</v>
      </c>
      <c r="E362" t="s">
        <v>22</v>
      </c>
      <c r="F362">
        <v>771100</v>
      </c>
      <c r="G362">
        <v>192800</v>
      </c>
      <c r="H362">
        <v>191109.4</v>
      </c>
      <c r="I362" t="s">
        <v>36</v>
      </c>
    </row>
    <row r="363" spans="1:9" hidden="1" x14ac:dyDescent="0.35">
      <c r="A363" t="s">
        <v>200</v>
      </c>
      <c r="B363" t="s">
        <v>62</v>
      </c>
      <c r="C363" t="s">
        <v>201</v>
      </c>
      <c r="D363" t="s">
        <v>199</v>
      </c>
      <c r="E363" t="s">
        <v>21</v>
      </c>
      <c r="F363">
        <v>221500</v>
      </c>
      <c r="G363">
        <v>55400</v>
      </c>
      <c r="H363">
        <v>53803.05</v>
      </c>
      <c r="I363" t="s">
        <v>36</v>
      </c>
    </row>
    <row r="364" spans="1:9" hidden="1" x14ac:dyDescent="0.35">
      <c r="A364" t="s">
        <v>200</v>
      </c>
      <c r="B364" t="s">
        <v>62</v>
      </c>
      <c r="C364" t="s">
        <v>201</v>
      </c>
      <c r="D364" t="s">
        <v>199</v>
      </c>
      <c r="E364" t="s">
        <v>18</v>
      </c>
      <c r="F364">
        <v>19000</v>
      </c>
      <c r="G364">
        <v>7000</v>
      </c>
      <c r="H364">
        <v>5990</v>
      </c>
      <c r="I364" t="s">
        <v>36</v>
      </c>
    </row>
    <row r="365" spans="1:9" hidden="1" x14ac:dyDescent="0.35">
      <c r="A365" t="s">
        <v>200</v>
      </c>
      <c r="B365" t="s">
        <v>62</v>
      </c>
      <c r="C365" t="s">
        <v>201</v>
      </c>
      <c r="D365" t="s">
        <v>199</v>
      </c>
      <c r="E365" t="s">
        <v>23</v>
      </c>
      <c r="F365">
        <v>424600</v>
      </c>
      <c r="G365">
        <v>106100</v>
      </c>
      <c r="H365">
        <v>98413.2</v>
      </c>
      <c r="I365" t="s">
        <v>36</v>
      </c>
    </row>
    <row r="366" spans="1:9" hidden="1" x14ac:dyDescent="0.35">
      <c r="A366" t="s">
        <v>200</v>
      </c>
      <c r="B366" t="s">
        <v>62</v>
      </c>
      <c r="C366" t="s">
        <v>201</v>
      </c>
      <c r="D366" t="s">
        <v>199</v>
      </c>
      <c r="E366" t="s">
        <v>32</v>
      </c>
      <c r="F366">
        <v>397000</v>
      </c>
      <c r="G366">
        <v>99300</v>
      </c>
      <c r="H366">
        <v>91287</v>
      </c>
      <c r="I366" t="s">
        <v>36</v>
      </c>
    </row>
    <row r="367" spans="1:9" hidden="1" x14ac:dyDescent="0.35">
      <c r="A367" t="s">
        <v>200</v>
      </c>
      <c r="B367" t="s">
        <v>62</v>
      </c>
      <c r="C367" t="s">
        <v>201</v>
      </c>
      <c r="D367" t="s">
        <v>199</v>
      </c>
      <c r="E367" t="s">
        <v>20</v>
      </c>
      <c r="F367">
        <v>301500</v>
      </c>
      <c r="G367">
        <v>75400</v>
      </c>
      <c r="H367">
        <v>72759.399999999994</v>
      </c>
      <c r="I367" t="s">
        <v>36</v>
      </c>
    </row>
    <row r="368" spans="1:9" hidden="1" x14ac:dyDescent="0.35">
      <c r="A368" t="s">
        <v>200</v>
      </c>
      <c r="B368" t="s">
        <v>62</v>
      </c>
      <c r="C368" t="s">
        <v>201</v>
      </c>
      <c r="D368" t="s">
        <v>199</v>
      </c>
      <c r="E368" t="s">
        <v>31</v>
      </c>
      <c r="F368">
        <v>33000</v>
      </c>
      <c r="G368">
        <v>8300</v>
      </c>
      <c r="H368">
        <v>2959</v>
      </c>
      <c r="I368" t="s">
        <v>36</v>
      </c>
    </row>
    <row r="369" spans="1:9" hidden="1" x14ac:dyDescent="0.35">
      <c r="A369" t="s">
        <v>200</v>
      </c>
      <c r="B369" t="s">
        <v>62</v>
      </c>
      <c r="C369" t="s">
        <v>201</v>
      </c>
      <c r="D369" t="s">
        <v>199</v>
      </c>
      <c r="E369" t="s">
        <v>43</v>
      </c>
      <c r="F369">
        <v>221000</v>
      </c>
      <c r="G369">
        <v>55300</v>
      </c>
      <c r="H369">
        <v>34170</v>
      </c>
      <c r="I369" t="s">
        <v>36</v>
      </c>
    </row>
    <row r="370" spans="1:9" hidden="1" x14ac:dyDescent="0.35">
      <c r="A370" t="s">
        <v>200</v>
      </c>
      <c r="B370" t="s">
        <v>62</v>
      </c>
      <c r="C370" t="s">
        <v>201</v>
      </c>
      <c r="D370" t="s">
        <v>199</v>
      </c>
      <c r="E370" t="s">
        <v>17</v>
      </c>
      <c r="F370">
        <v>105000</v>
      </c>
      <c r="G370">
        <v>26300</v>
      </c>
      <c r="H370">
        <v>24176</v>
      </c>
      <c r="I370" t="s">
        <v>36</v>
      </c>
    </row>
    <row r="371" spans="1:9" hidden="1" x14ac:dyDescent="0.35">
      <c r="A371" t="s">
        <v>200</v>
      </c>
      <c r="B371" t="s">
        <v>62</v>
      </c>
      <c r="C371" t="s">
        <v>201</v>
      </c>
      <c r="D371" t="s">
        <v>199</v>
      </c>
      <c r="E371" t="s">
        <v>29</v>
      </c>
      <c r="F371">
        <v>90600</v>
      </c>
      <c r="G371">
        <v>22700</v>
      </c>
      <c r="H371">
        <v>15153.4</v>
      </c>
      <c r="I371" t="s">
        <v>36</v>
      </c>
    </row>
    <row r="372" spans="1:9" hidden="1" x14ac:dyDescent="0.35">
      <c r="A372" t="s">
        <v>200</v>
      </c>
      <c r="B372" t="s">
        <v>62</v>
      </c>
      <c r="C372" t="s">
        <v>201</v>
      </c>
      <c r="D372" t="s">
        <v>199</v>
      </c>
      <c r="E372" t="s">
        <v>27</v>
      </c>
      <c r="F372">
        <v>587500</v>
      </c>
      <c r="G372">
        <v>146900</v>
      </c>
      <c r="H372">
        <v>142515.95000000001</v>
      </c>
      <c r="I372" t="s">
        <v>36</v>
      </c>
    </row>
    <row r="373" spans="1:9" hidden="1" x14ac:dyDescent="0.35">
      <c r="A373" t="s">
        <v>200</v>
      </c>
      <c r="B373" t="s">
        <v>62</v>
      </c>
      <c r="C373" t="s">
        <v>201</v>
      </c>
      <c r="D373" t="s">
        <v>199</v>
      </c>
      <c r="E373" t="s">
        <v>33</v>
      </c>
      <c r="F373">
        <v>194200</v>
      </c>
      <c r="G373">
        <v>48600</v>
      </c>
      <c r="H373">
        <v>44088.800000000003</v>
      </c>
      <c r="I373" t="s">
        <v>36</v>
      </c>
    </row>
    <row r="374" spans="1:9" hidden="1" x14ac:dyDescent="0.35">
      <c r="A374" t="s">
        <v>200</v>
      </c>
      <c r="B374" t="s">
        <v>62</v>
      </c>
      <c r="C374" t="s">
        <v>201</v>
      </c>
      <c r="D374" t="s">
        <v>199</v>
      </c>
      <c r="E374" t="s">
        <v>28</v>
      </c>
      <c r="F374">
        <v>112500</v>
      </c>
      <c r="G374">
        <v>28200</v>
      </c>
      <c r="H374">
        <v>26688.52</v>
      </c>
      <c r="I374" t="s">
        <v>36</v>
      </c>
    </row>
    <row r="375" spans="1:9" hidden="1" x14ac:dyDescent="0.35">
      <c r="A375" t="s">
        <v>202</v>
      </c>
      <c r="B375" t="s">
        <v>59</v>
      </c>
      <c r="C375" t="s">
        <v>203</v>
      </c>
      <c r="D375" t="s">
        <v>198</v>
      </c>
      <c r="E375" t="s">
        <v>16</v>
      </c>
      <c r="F375">
        <v>639000</v>
      </c>
      <c r="G375">
        <v>50000</v>
      </c>
      <c r="H375">
        <v>41612.519999999997</v>
      </c>
      <c r="I375" t="s">
        <v>36</v>
      </c>
    </row>
    <row r="376" spans="1:9" hidden="1" x14ac:dyDescent="0.35">
      <c r="A376" t="s">
        <v>202</v>
      </c>
      <c r="B376" t="s">
        <v>59</v>
      </c>
      <c r="C376" t="s">
        <v>203</v>
      </c>
      <c r="D376" t="s">
        <v>198</v>
      </c>
      <c r="E376" t="s">
        <v>42</v>
      </c>
      <c r="F376">
        <v>100000</v>
      </c>
      <c r="G376">
        <v>10000</v>
      </c>
      <c r="H376">
        <v>7196</v>
      </c>
      <c r="I376" t="s">
        <v>36</v>
      </c>
    </row>
    <row r="377" spans="1:9" hidden="1" x14ac:dyDescent="0.35">
      <c r="A377" t="s">
        <v>202</v>
      </c>
      <c r="B377" t="s">
        <v>59</v>
      </c>
      <c r="C377" t="s">
        <v>203</v>
      </c>
      <c r="D377" t="s">
        <v>198</v>
      </c>
      <c r="E377" t="s">
        <v>34</v>
      </c>
      <c r="F377">
        <v>4599000</v>
      </c>
      <c r="G377">
        <v>20000</v>
      </c>
      <c r="H377">
        <v>10088</v>
      </c>
      <c r="I377" t="s">
        <v>36</v>
      </c>
    </row>
    <row r="378" spans="1:9" hidden="1" x14ac:dyDescent="0.35">
      <c r="A378" t="s">
        <v>202</v>
      </c>
      <c r="B378" t="s">
        <v>59</v>
      </c>
      <c r="C378" t="s">
        <v>203</v>
      </c>
      <c r="D378" t="s">
        <v>198</v>
      </c>
      <c r="E378" t="s">
        <v>9</v>
      </c>
      <c r="F378">
        <v>70000</v>
      </c>
      <c r="G378">
        <v>20000</v>
      </c>
      <c r="H378">
        <v>19970.3</v>
      </c>
      <c r="I378" t="s">
        <v>36</v>
      </c>
    </row>
    <row r="379" spans="1:9" hidden="1" x14ac:dyDescent="0.35">
      <c r="A379" t="s">
        <v>202</v>
      </c>
      <c r="B379" t="s">
        <v>59</v>
      </c>
      <c r="C379" t="s">
        <v>203</v>
      </c>
      <c r="D379" t="s">
        <v>199</v>
      </c>
      <c r="E379" t="s">
        <v>24</v>
      </c>
      <c r="F379">
        <v>62000</v>
      </c>
      <c r="G379">
        <v>10000</v>
      </c>
      <c r="H379">
        <v>6466.23</v>
      </c>
      <c r="I379" t="s">
        <v>36</v>
      </c>
    </row>
    <row r="380" spans="1:9" hidden="1" x14ac:dyDescent="0.35">
      <c r="A380" t="s">
        <v>202</v>
      </c>
      <c r="B380" t="s">
        <v>59</v>
      </c>
      <c r="C380" t="s">
        <v>203</v>
      </c>
      <c r="D380" t="s">
        <v>199</v>
      </c>
      <c r="E380" t="s">
        <v>19</v>
      </c>
      <c r="F380">
        <v>112000</v>
      </c>
      <c r="G380">
        <v>20000</v>
      </c>
      <c r="H380">
        <v>17363.240000000002</v>
      </c>
      <c r="I380" t="s">
        <v>36</v>
      </c>
    </row>
    <row r="381" spans="1:9" hidden="1" x14ac:dyDescent="0.35">
      <c r="A381" t="s">
        <v>202</v>
      </c>
      <c r="B381" t="s">
        <v>59</v>
      </c>
      <c r="C381" t="s">
        <v>203</v>
      </c>
      <c r="D381" t="s">
        <v>199</v>
      </c>
      <c r="E381" t="s">
        <v>25</v>
      </c>
      <c r="F381">
        <v>86500</v>
      </c>
      <c r="G381">
        <v>26000</v>
      </c>
      <c r="H381">
        <v>25832.62</v>
      </c>
      <c r="I381" t="s">
        <v>36</v>
      </c>
    </row>
    <row r="382" spans="1:9" hidden="1" x14ac:dyDescent="0.35">
      <c r="A382" t="s">
        <v>202</v>
      </c>
      <c r="B382" t="s">
        <v>59</v>
      </c>
      <c r="C382" t="s">
        <v>203</v>
      </c>
      <c r="D382" t="s">
        <v>199</v>
      </c>
      <c r="E382" t="s">
        <v>26</v>
      </c>
      <c r="F382">
        <v>168500</v>
      </c>
      <c r="G382">
        <v>25000</v>
      </c>
      <c r="H382">
        <v>20680.62</v>
      </c>
      <c r="I382" t="s">
        <v>36</v>
      </c>
    </row>
    <row r="383" spans="1:9" hidden="1" x14ac:dyDescent="0.35">
      <c r="A383" t="s">
        <v>202</v>
      </c>
      <c r="B383" t="s">
        <v>59</v>
      </c>
      <c r="C383" t="s">
        <v>203</v>
      </c>
      <c r="D383" t="s">
        <v>199</v>
      </c>
      <c r="E383" t="s">
        <v>30</v>
      </c>
      <c r="F383">
        <v>114000</v>
      </c>
      <c r="G383">
        <v>50000</v>
      </c>
      <c r="H383">
        <v>47527.360000000001</v>
      </c>
      <c r="I383" t="s">
        <v>36</v>
      </c>
    </row>
    <row r="384" spans="1:9" hidden="1" x14ac:dyDescent="0.35">
      <c r="A384" t="s">
        <v>202</v>
      </c>
      <c r="B384" t="s">
        <v>59</v>
      </c>
      <c r="C384" t="s">
        <v>203</v>
      </c>
      <c r="D384" t="s">
        <v>199</v>
      </c>
      <c r="E384" t="s">
        <v>35</v>
      </c>
      <c r="F384">
        <v>112000</v>
      </c>
      <c r="G384">
        <v>55000</v>
      </c>
      <c r="H384">
        <v>54121.53</v>
      </c>
      <c r="I384" t="s">
        <v>36</v>
      </c>
    </row>
    <row r="385" spans="1:9" hidden="1" x14ac:dyDescent="0.35">
      <c r="A385" t="s">
        <v>202</v>
      </c>
      <c r="B385" t="s">
        <v>59</v>
      </c>
      <c r="C385" t="s">
        <v>203</v>
      </c>
      <c r="D385" t="s">
        <v>199</v>
      </c>
      <c r="E385" t="s">
        <v>22</v>
      </c>
      <c r="F385">
        <v>94500</v>
      </c>
      <c r="G385">
        <v>25000</v>
      </c>
      <c r="H385">
        <v>23648.54</v>
      </c>
      <c r="I385" t="s">
        <v>36</v>
      </c>
    </row>
    <row r="386" spans="1:9" hidden="1" x14ac:dyDescent="0.35">
      <c r="A386" t="s">
        <v>202</v>
      </c>
      <c r="B386" t="s">
        <v>59</v>
      </c>
      <c r="C386" t="s">
        <v>203</v>
      </c>
      <c r="D386" t="s">
        <v>199</v>
      </c>
      <c r="E386" t="s">
        <v>21</v>
      </c>
      <c r="F386">
        <v>78500</v>
      </c>
      <c r="G386">
        <v>30000</v>
      </c>
      <c r="H386">
        <v>28348.81</v>
      </c>
      <c r="I386" t="s">
        <v>36</v>
      </c>
    </row>
    <row r="387" spans="1:9" hidden="1" x14ac:dyDescent="0.35">
      <c r="A387" t="s">
        <v>202</v>
      </c>
      <c r="B387" t="s">
        <v>59</v>
      </c>
      <c r="C387" t="s">
        <v>203</v>
      </c>
      <c r="D387" t="s">
        <v>199</v>
      </c>
      <c r="E387" t="s">
        <v>18</v>
      </c>
      <c r="F387">
        <v>135500</v>
      </c>
      <c r="G387">
        <v>55000</v>
      </c>
      <c r="H387">
        <v>52844.74</v>
      </c>
      <c r="I387" t="s">
        <v>36</v>
      </c>
    </row>
    <row r="388" spans="1:9" hidden="1" x14ac:dyDescent="0.35">
      <c r="A388" t="s">
        <v>202</v>
      </c>
      <c r="B388" t="s">
        <v>59</v>
      </c>
      <c r="C388" t="s">
        <v>203</v>
      </c>
      <c r="D388" t="s">
        <v>199</v>
      </c>
      <c r="E388" t="s">
        <v>23</v>
      </c>
      <c r="F388">
        <v>105500</v>
      </c>
      <c r="G388">
        <v>26000</v>
      </c>
      <c r="H388">
        <v>24362.41</v>
      </c>
      <c r="I388" t="s">
        <v>36</v>
      </c>
    </row>
    <row r="389" spans="1:9" hidden="1" x14ac:dyDescent="0.35">
      <c r="A389" t="s">
        <v>202</v>
      </c>
      <c r="B389" t="s">
        <v>59</v>
      </c>
      <c r="C389" t="s">
        <v>203</v>
      </c>
      <c r="D389" t="s">
        <v>199</v>
      </c>
      <c r="E389" t="s">
        <v>32</v>
      </c>
      <c r="F389">
        <v>95500</v>
      </c>
      <c r="G389">
        <v>17000</v>
      </c>
      <c r="H389">
        <v>15441.28</v>
      </c>
      <c r="I389" t="s">
        <v>36</v>
      </c>
    </row>
    <row r="390" spans="1:9" hidden="1" x14ac:dyDescent="0.35">
      <c r="A390" t="s">
        <v>202</v>
      </c>
      <c r="B390" t="s">
        <v>59</v>
      </c>
      <c r="C390" t="s">
        <v>203</v>
      </c>
      <c r="D390" t="s">
        <v>199</v>
      </c>
      <c r="E390" t="s">
        <v>20</v>
      </c>
      <c r="F390">
        <v>80500</v>
      </c>
      <c r="G390">
        <v>20000</v>
      </c>
      <c r="H390">
        <v>16569.259999999998</v>
      </c>
      <c r="I390" t="s">
        <v>36</v>
      </c>
    </row>
    <row r="391" spans="1:9" hidden="1" x14ac:dyDescent="0.35">
      <c r="A391" t="s">
        <v>202</v>
      </c>
      <c r="B391" t="s">
        <v>59</v>
      </c>
      <c r="C391" t="s">
        <v>203</v>
      </c>
      <c r="D391" t="s">
        <v>199</v>
      </c>
      <c r="E391" t="s">
        <v>31</v>
      </c>
      <c r="F391">
        <v>120000</v>
      </c>
      <c r="G391">
        <v>20000</v>
      </c>
      <c r="H391">
        <v>17350.7</v>
      </c>
      <c r="I391" t="s">
        <v>36</v>
      </c>
    </row>
    <row r="392" spans="1:9" hidden="1" x14ac:dyDescent="0.35">
      <c r="A392" t="s">
        <v>202</v>
      </c>
      <c r="B392" t="s">
        <v>59</v>
      </c>
      <c r="C392" t="s">
        <v>203</v>
      </c>
      <c r="D392" t="s">
        <v>199</v>
      </c>
      <c r="E392" t="s">
        <v>43</v>
      </c>
      <c r="F392">
        <v>77500</v>
      </c>
      <c r="G392">
        <v>20000</v>
      </c>
      <c r="H392">
        <v>18659.490000000002</v>
      </c>
      <c r="I392" t="s">
        <v>36</v>
      </c>
    </row>
    <row r="393" spans="1:9" hidden="1" x14ac:dyDescent="0.35">
      <c r="A393" t="s">
        <v>202</v>
      </c>
      <c r="B393" t="s">
        <v>59</v>
      </c>
      <c r="C393" t="s">
        <v>203</v>
      </c>
      <c r="D393" t="s">
        <v>199</v>
      </c>
      <c r="E393" t="s">
        <v>17</v>
      </c>
      <c r="F393">
        <v>67500</v>
      </c>
      <c r="G393">
        <v>30000</v>
      </c>
      <c r="H393">
        <v>29281.53</v>
      </c>
      <c r="I393" t="s">
        <v>36</v>
      </c>
    </row>
    <row r="394" spans="1:9" hidden="1" x14ac:dyDescent="0.35">
      <c r="A394" t="s">
        <v>202</v>
      </c>
      <c r="B394" t="s">
        <v>59</v>
      </c>
      <c r="C394" t="s">
        <v>203</v>
      </c>
      <c r="D394" t="s">
        <v>199</v>
      </c>
      <c r="E394" t="s">
        <v>29</v>
      </c>
      <c r="F394">
        <v>70500</v>
      </c>
      <c r="G394">
        <v>30000</v>
      </c>
      <c r="H394">
        <v>26010.720000000001</v>
      </c>
      <c r="I394" t="s">
        <v>36</v>
      </c>
    </row>
    <row r="395" spans="1:9" hidden="1" x14ac:dyDescent="0.35">
      <c r="A395" t="s">
        <v>202</v>
      </c>
      <c r="B395" t="s">
        <v>59</v>
      </c>
      <c r="C395" t="s">
        <v>203</v>
      </c>
      <c r="D395" t="s">
        <v>199</v>
      </c>
      <c r="E395" t="s">
        <v>27</v>
      </c>
      <c r="F395">
        <v>134500</v>
      </c>
      <c r="G395">
        <v>15000</v>
      </c>
      <c r="H395">
        <v>13988.63</v>
      </c>
      <c r="I395" t="s">
        <v>36</v>
      </c>
    </row>
    <row r="396" spans="1:9" hidden="1" x14ac:dyDescent="0.35">
      <c r="A396" t="s">
        <v>202</v>
      </c>
      <c r="B396" t="s">
        <v>59</v>
      </c>
      <c r="C396" t="s">
        <v>203</v>
      </c>
      <c r="D396" t="s">
        <v>199</v>
      </c>
      <c r="E396" t="s">
        <v>33</v>
      </c>
      <c r="F396">
        <v>59500</v>
      </c>
      <c r="G396">
        <v>14000</v>
      </c>
      <c r="H396">
        <v>8842.09</v>
      </c>
      <c r="I396" t="s">
        <v>36</v>
      </c>
    </row>
    <row r="397" spans="1:9" hidden="1" x14ac:dyDescent="0.35">
      <c r="A397" t="s">
        <v>202</v>
      </c>
      <c r="B397" t="s">
        <v>59</v>
      </c>
      <c r="C397" t="s">
        <v>203</v>
      </c>
      <c r="D397" t="s">
        <v>199</v>
      </c>
      <c r="E397" t="s">
        <v>28</v>
      </c>
      <c r="F397">
        <v>61500</v>
      </c>
      <c r="G397">
        <v>25000</v>
      </c>
      <c r="H397">
        <v>23989.8</v>
      </c>
      <c r="I397" t="s">
        <v>36</v>
      </c>
    </row>
    <row r="398" spans="1:9" hidden="1" x14ac:dyDescent="0.35">
      <c r="A398" t="s">
        <v>276</v>
      </c>
      <c r="B398" t="s">
        <v>61</v>
      </c>
      <c r="C398" t="s">
        <v>277</v>
      </c>
      <c r="D398" t="s">
        <v>198</v>
      </c>
      <c r="E398" t="s">
        <v>16</v>
      </c>
      <c r="F398">
        <v>850000</v>
      </c>
      <c r="G398">
        <v>150000</v>
      </c>
      <c r="H398">
        <v>140291.63</v>
      </c>
      <c r="I398" t="s">
        <v>36</v>
      </c>
    </row>
    <row r="399" spans="1:9" hidden="1" x14ac:dyDescent="0.35">
      <c r="A399" t="s">
        <v>276</v>
      </c>
      <c r="B399" t="s">
        <v>61</v>
      </c>
      <c r="C399" t="s">
        <v>277</v>
      </c>
      <c r="D399" t="s">
        <v>198</v>
      </c>
      <c r="E399" t="s">
        <v>42</v>
      </c>
      <c r="F399">
        <v>4291000</v>
      </c>
      <c r="G399">
        <v>550000</v>
      </c>
      <c r="H399">
        <v>531400.14</v>
      </c>
      <c r="I399" t="s">
        <v>36</v>
      </c>
    </row>
    <row r="400" spans="1:9" hidden="1" x14ac:dyDescent="0.35">
      <c r="A400" t="s">
        <v>276</v>
      </c>
      <c r="B400" t="s">
        <v>61</v>
      </c>
      <c r="C400" t="s">
        <v>277</v>
      </c>
      <c r="D400" t="s">
        <v>198</v>
      </c>
      <c r="E400" t="s">
        <v>34</v>
      </c>
      <c r="F400">
        <v>4384000</v>
      </c>
      <c r="G400">
        <v>400000</v>
      </c>
      <c r="H400">
        <v>372610.52</v>
      </c>
      <c r="I400" t="s">
        <v>36</v>
      </c>
    </row>
    <row r="401" spans="1:9" hidden="1" x14ac:dyDescent="0.35">
      <c r="A401" t="s">
        <v>276</v>
      </c>
      <c r="B401" t="s">
        <v>61</v>
      </c>
      <c r="C401" t="s">
        <v>277</v>
      </c>
      <c r="D401" t="s">
        <v>198</v>
      </c>
      <c r="E401" t="s">
        <v>9</v>
      </c>
      <c r="F401">
        <v>16000</v>
      </c>
      <c r="G401">
        <v>1000</v>
      </c>
      <c r="H401">
        <v>713.95</v>
      </c>
      <c r="I401" t="s">
        <v>36</v>
      </c>
    </row>
    <row r="402" spans="1:9" hidden="1" x14ac:dyDescent="0.35">
      <c r="A402" t="s">
        <v>276</v>
      </c>
      <c r="B402" t="s">
        <v>61</v>
      </c>
      <c r="C402" t="s">
        <v>277</v>
      </c>
      <c r="D402" t="s">
        <v>199</v>
      </c>
      <c r="E402" t="s">
        <v>24</v>
      </c>
      <c r="F402">
        <v>60000</v>
      </c>
      <c r="G402">
        <v>10000</v>
      </c>
      <c r="H402">
        <v>7461.9</v>
      </c>
      <c r="I402" t="s">
        <v>36</v>
      </c>
    </row>
    <row r="403" spans="1:9" hidden="1" x14ac:dyDescent="0.35">
      <c r="A403" t="s">
        <v>276</v>
      </c>
      <c r="B403" t="s">
        <v>61</v>
      </c>
      <c r="C403" t="s">
        <v>277</v>
      </c>
      <c r="D403" t="s">
        <v>199</v>
      </c>
      <c r="E403" t="s">
        <v>19</v>
      </c>
      <c r="F403">
        <v>146000</v>
      </c>
      <c r="G403">
        <v>22000</v>
      </c>
      <c r="H403">
        <v>19629.810000000001</v>
      </c>
      <c r="I403" t="s">
        <v>36</v>
      </c>
    </row>
    <row r="404" spans="1:9" hidden="1" x14ac:dyDescent="0.35">
      <c r="A404" t="s">
        <v>276</v>
      </c>
      <c r="B404" t="s">
        <v>61</v>
      </c>
      <c r="C404" t="s">
        <v>277</v>
      </c>
      <c r="D404" t="s">
        <v>199</v>
      </c>
      <c r="E404" t="s">
        <v>25</v>
      </c>
      <c r="F404">
        <v>66000</v>
      </c>
      <c r="G404">
        <v>16500</v>
      </c>
      <c r="H404">
        <v>12438.24</v>
      </c>
      <c r="I404" t="s">
        <v>36</v>
      </c>
    </row>
    <row r="405" spans="1:9" hidden="1" x14ac:dyDescent="0.35">
      <c r="A405" t="s">
        <v>276</v>
      </c>
      <c r="B405" t="s">
        <v>61</v>
      </c>
      <c r="C405" t="s">
        <v>277</v>
      </c>
      <c r="D405" t="s">
        <v>199</v>
      </c>
      <c r="E405" t="s">
        <v>26</v>
      </c>
      <c r="F405">
        <v>63000</v>
      </c>
      <c r="G405">
        <v>10000</v>
      </c>
      <c r="H405">
        <v>7128.75</v>
      </c>
      <c r="I405" t="s">
        <v>36</v>
      </c>
    </row>
    <row r="406" spans="1:9" hidden="1" x14ac:dyDescent="0.35">
      <c r="A406" t="s">
        <v>276</v>
      </c>
      <c r="B406" t="s">
        <v>61</v>
      </c>
      <c r="C406" t="s">
        <v>277</v>
      </c>
      <c r="D406" t="s">
        <v>199</v>
      </c>
      <c r="E406" t="s">
        <v>30</v>
      </c>
      <c r="F406">
        <v>113000</v>
      </c>
      <c r="G406">
        <v>20000</v>
      </c>
      <c r="H406">
        <v>15347.5</v>
      </c>
      <c r="I406" t="s">
        <v>36</v>
      </c>
    </row>
    <row r="407" spans="1:9" hidden="1" x14ac:dyDescent="0.35">
      <c r="A407" t="s">
        <v>276</v>
      </c>
      <c r="B407" t="s">
        <v>61</v>
      </c>
      <c r="C407" t="s">
        <v>277</v>
      </c>
      <c r="D407" t="s">
        <v>199</v>
      </c>
      <c r="E407" t="s">
        <v>35</v>
      </c>
      <c r="F407">
        <v>118000</v>
      </c>
      <c r="G407">
        <v>25000</v>
      </c>
      <c r="H407">
        <v>20333.32</v>
      </c>
      <c r="I407" t="s">
        <v>36</v>
      </c>
    </row>
    <row r="408" spans="1:9" hidden="1" x14ac:dyDescent="0.35">
      <c r="A408" t="s">
        <v>276</v>
      </c>
      <c r="B408" t="s">
        <v>61</v>
      </c>
      <c r="C408" t="s">
        <v>277</v>
      </c>
      <c r="D408" t="s">
        <v>199</v>
      </c>
      <c r="E408" t="s">
        <v>22</v>
      </c>
      <c r="F408">
        <v>163000</v>
      </c>
      <c r="G408">
        <v>35000</v>
      </c>
      <c r="H408">
        <v>28164.48</v>
      </c>
      <c r="I408" t="s">
        <v>36</v>
      </c>
    </row>
    <row r="409" spans="1:9" hidden="1" x14ac:dyDescent="0.35">
      <c r="A409" t="s">
        <v>276</v>
      </c>
      <c r="B409" t="s">
        <v>61</v>
      </c>
      <c r="C409" t="s">
        <v>277</v>
      </c>
      <c r="D409" t="s">
        <v>199</v>
      </c>
      <c r="E409" t="s">
        <v>21</v>
      </c>
      <c r="F409">
        <v>116000</v>
      </c>
      <c r="G409">
        <v>25000</v>
      </c>
      <c r="H409">
        <v>16959.86</v>
      </c>
      <c r="I409" t="s">
        <v>36</v>
      </c>
    </row>
    <row r="410" spans="1:9" hidden="1" x14ac:dyDescent="0.35">
      <c r="A410" t="s">
        <v>276</v>
      </c>
      <c r="B410" t="s">
        <v>61</v>
      </c>
      <c r="C410" t="s">
        <v>277</v>
      </c>
      <c r="D410" t="s">
        <v>199</v>
      </c>
      <c r="E410" t="s">
        <v>18</v>
      </c>
      <c r="F410">
        <v>367000</v>
      </c>
      <c r="G410">
        <v>40000</v>
      </c>
      <c r="H410">
        <v>28400.87</v>
      </c>
      <c r="I410" t="s">
        <v>36</v>
      </c>
    </row>
    <row r="411" spans="1:9" hidden="1" x14ac:dyDescent="0.35">
      <c r="A411" t="s">
        <v>276</v>
      </c>
      <c r="B411" t="s">
        <v>61</v>
      </c>
      <c r="C411" t="s">
        <v>277</v>
      </c>
      <c r="D411" t="s">
        <v>199</v>
      </c>
      <c r="E411" t="s">
        <v>23</v>
      </c>
      <c r="F411">
        <v>97000</v>
      </c>
      <c r="G411">
        <v>25000</v>
      </c>
      <c r="H411">
        <v>19706.23</v>
      </c>
      <c r="I411" t="s">
        <v>36</v>
      </c>
    </row>
    <row r="412" spans="1:9" hidden="1" x14ac:dyDescent="0.35">
      <c r="A412" t="s">
        <v>276</v>
      </c>
      <c r="B412" t="s">
        <v>61</v>
      </c>
      <c r="C412" t="s">
        <v>277</v>
      </c>
      <c r="D412" t="s">
        <v>199</v>
      </c>
      <c r="E412" t="s">
        <v>32</v>
      </c>
      <c r="F412">
        <v>58000</v>
      </c>
      <c r="G412">
        <v>35000</v>
      </c>
      <c r="H412">
        <v>30479.13</v>
      </c>
      <c r="I412" t="s">
        <v>36</v>
      </c>
    </row>
    <row r="413" spans="1:9" hidden="1" x14ac:dyDescent="0.35">
      <c r="A413" t="s">
        <v>276</v>
      </c>
      <c r="B413" t="s">
        <v>61</v>
      </c>
      <c r="C413" t="s">
        <v>277</v>
      </c>
      <c r="D413" t="s">
        <v>199</v>
      </c>
      <c r="E413" t="s">
        <v>20</v>
      </c>
      <c r="F413">
        <v>76000</v>
      </c>
      <c r="G413">
        <v>19000</v>
      </c>
      <c r="H413">
        <v>10183.280000000001</v>
      </c>
      <c r="I413" t="s">
        <v>36</v>
      </c>
    </row>
    <row r="414" spans="1:9" hidden="1" x14ac:dyDescent="0.35">
      <c r="A414" t="s">
        <v>276</v>
      </c>
      <c r="B414" t="s">
        <v>61</v>
      </c>
      <c r="C414" t="s">
        <v>277</v>
      </c>
      <c r="D414" t="s">
        <v>199</v>
      </c>
      <c r="E414" t="s">
        <v>31</v>
      </c>
      <c r="F414">
        <v>305000</v>
      </c>
      <c r="G414">
        <v>100000</v>
      </c>
      <c r="H414">
        <v>90322.02</v>
      </c>
      <c r="I414" t="s">
        <v>36</v>
      </c>
    </row>
    <row r="415" spans="1:9" hidden="1" x14ac:dyDescent="0.35">
      <c r="A415" t="s">
        <v>276</v>
      </c>
      <c r="B415" t="s">
        <v>61</v>
      </c>
      <c r="C415" t="s">
        <v>277</v>
      </c>
      <c r="D415" t="s">
        <v>199</v>
      </c>
      <c r="E415" t="s">
        <v>43</v>
      </c>
      <c r="F415">
        <v>90000</v>
      </c>
      <c r="G415">
        <v>3000</v>
      </c>
      <c r="H415">
        <v>1650.6</v>
      </c>
      <c r="I415" t="s">
        <v>36</v>
      </c>
    </row>
    <row r="416" spans="1:9" hidden="1" x14ac:dyDescent="0.35">
      <c r="A416" t="s">
        <v>276</v>
      </c>
      <c r="B416" t="s">
        <v>61</v>
      </c>
      <c r="C416" t="s">
        <v>277</v>
      </c>
      <c r="D416" t="s">
        <v>199</v>
      </c>
      <c r="E416" t="s">
        <v>17</v>
      </c>
      <c r="F416">
        <v>68000</v>
      </c>
      <c r="G416">
        <v>15000</v>
      </c>
      <c r="H416">
        <v>9788.98</v>
      </c>
      <c r="I416" t="s">
        <v>36</v>
      </c>
    </row>
    <row r="417" spans="1:9" hidden="1" x14ac:dyDescent="0.35">
      <c r="A417" t="s">
        <v>276</v>
      </c>
      <c r="B417" t="s">
        <v>61</v>
      </c>
      <c r="C417" t="s">
        <v>277</v>
      </c>
      <c r="D417" t="s">
        <v>199</v>
      </c>
      <c r="E417" t="s">
        <v>29</v>
      </c>
      <c r="F417">
        <v>78000</v>
      </c>
      <c r="G417">
        <v>15000</v>
      </c>
      <c r="H417">
        <v>10225.719999999999</v>
      </c>
      <c r="I417" t="s">
        <v>36</v>
      </c>
    </row>
    <row r="418" spans="1:9" hidden="1" x14ac:dyDescent="0.35">
      <c r="A418" t="s">
        <v>276</v>
      </c>
      <c r="B418" t="s">
        <v>61</v>
      </c>
      <c r="C418" t="s">
        <v>277</v>
      </c>
      <c r="D418" t="s">
        <v>199</v>
      </c>
      <c r="E418" t="s">
        <v>27</v>
      </c>
      <c r="F418">
        <v>158000</v>
      </c>
      <c r="G418">
        <v>30000</v>
      </c>
      <c r="H418">
        <v>27853.39</v>
      </c>
      <c r="I418" t="s">
        <v>36</v>
      </c>
    </row>
    <row r="419" spans="1:9" hidden="1" x14ac:dyDescent="0.35">
      <c r="A419" t="s">
        <v>276</v>
      </c>
      <c r="B419" t="s">
        <v>61</v>
      </c>
      <c r="C419" t="s">
        <v>277</v>
      </c>
      <c r="D419" t="s">
        <v>199</v>
      </c>
      <c r="E419" t="s">
        <v>33</v>
      </c>
      <c r="F419">
        <v>56000</v>
      </c>
      <c r="G419">
        <v>5000</v>
      </c>
      <c r="H419">
        <v>3965.8</v>
      </c>
      <c r="I419" t="s">
        <v>36</v>
      </c>
    </row>
    <row r="420" spans="1:9" hidden="1" x14ac:dyDescent="0.35">
      <c r="A420" t="s">
        <v>276</v>
      </c>
      <c r="B420" t="s">
        <v>61</v>
      </c>
      <c r="C420" t="s">
        <v>277</v>
      </c>
      <c r="D420" t="s">
        <v>199</v>
      </c>
      <c r="E420" t="s">
        <v>28</v>
      </c>
      <c r="F420">
        <v>61000</v>
      </c>
      <c r="G420">
        <v>10000</v>
      </c>
      <c r="H420">
        <v>5233.43</v>
      </c>
      <c r="I420" t="s">
        <v>36</v>
      </c>
    </row>
    <row r="421" spans="1:9" hidden="1" x14ac:dyDescent="0.35">
      <c r="A421" t="s">
        <v>204</v>
      </c>
      <c r="B421" t="s">
        <v>63</v>
      </c>
      <c r="C421" t="s">
        <v>205</v>
      </c>
      <c r="D421" t="s">
        <v>198</v>
      </c>
      <c r="E421" t="s">
        <v>44</v>
      </c>
      <c r="F421">
        <v>13000</v>
      </c>
      <c r="G421">
        <v>7000</v>
      </c>
      <c r="H421">
        <v>5968</v>
      </c>
      <c r="I421" t="s">
        <v>36</v>
      </c>
    </row>
    <row r="422" spans="1:9" hidden="1" x14ac:dyDescent="0.35">
      <c r="A422" t="s">
        <v>204</v>
      </c>
      <c r="B422" t="s">
        <v>63</v>
      </c>
      <c r="C422" t="s">
        <v>205</v>
      </c>
      <c r="D422" t="s">
        <v>198</v>
      </c>
      <c r="E422" t="s">
        <v>45</v>
      </c>
      <c r="F422">
        <v>812000</v>
      </c>
      <c r="G422">
        <v>2000</v>
      </c>
      <c r="H422">
        <v>1892.8</v>
      </c>
      <c r="I422" t="s">
        <v>36</v>
      </c>
    </row>
    <row r="423" spans="1:9" hidden="1" x14ac:dyDescent="0.35">
      <c r="A423" t="s">
        <v>204</v>
      </c>
      <c r="B423" t="s">
        <v>63</v>
      </c>
      <c r="C423" t="s">
        <v>205</v>
      </c>
      <c r="D423" t="s">
        <v>198</v>
      </c>
      <c r="E423" t="s">
        <v>40</v>
      </c>
      <c r="F423">
        <v>441300</v>
      </c>
      <c r="G423">
        <v>3000</v>
      </c>
      <c r="H423">
        <v>1805</v>
      </c>
      <c r="I423" t="s">
        <v>36</v>
      </c>
    </row>
    <row r="424" spans="1:9" hidden="1" x14ac:dyDescent="0.35">
      <c r="A424" t="s">
        <v>204</v>
      </c>
      <c r="B424" t="s">
        <v>63</v>
      </c>
      <c r="C424" t="s">
        <v>205</v>
      </c>
      <c r="D424" t="s">
        <v>198</v>
      </c>
      <c r="E424" t="s">
        <v>16</v>
      </c>
      <c r="F424">
        <v>11441700</v>
      </c>
      <c r="G424">
        <v>850000</v>
      </c>
      <c r="H424">
        <v>726479.17</v>
      </c>
      <c r="I424" t="s">
        <v>36</v>
      </c>
    </row>
    <row r="425" spans="1:9" hidden="1" x14ac:dyDescent="0.35">
      <c r="A425" t="s">
        <v>204</v>
      </c>
      <c r="B425" t="s">
        <v>63</v>
      </c>
      <c r="C425" t="s">
        <v>205</v>
      </c>
      <c r="D425" t="s">
        <v>198</v>
      </c>
      <c r="E425" t="s">
        <v>5</v>
      </c>
      <c r="F425">
        <v>3590800</v>
      </c>
      <c r="G425">
        <v>171000</v>
      </c>
      <c r="H425">
        <v>170008.6</v>
      </c>
      <c r="I425" t="s">
        <v>36</v>
      </c>
    </row>
    <row r="426" spans="1:9" hidden="1" x14ac:dyDescent="0.35">
      <c r="A426" t="s">
        <v>204</v>
      </c>
      <c r="B426" t="s">
        <v>63</v>
      </c>
      <c r="C426" t="s">
        <v>205</v>
      </c>
      <c r="D426" t="s">
        <v>198</v>
      </c>
      <c r="E426" t="s">
        <v>34</v>
      </c>
      <c r="F426">
        <v>1041000</v>
      </c>
      <c r="G426">
        <v>400000</v>
      </c>
      <c r="H426">
        <v>374982.71</v>
      </c>
      <c r="I426" t="s">
        <v>36</v>
      </c>
    </row>
    <row r="427" spans="1:9" hidden="1" x14ac:dyDescent="0.35">
      <c r="A427" t="s">
        <v>204</v>
      </c>
      <c r="B427" t="s">
        <v>63</v>
      </c>
      <c r="C427" t="s">
        <v>205</v>
      </c>
      <c r="D427" t="s">
        <v>198</v>
      </c>
      <c r="E427" t="s">
        <v>13</v>
      </c>
      <c r="F427">
        <v>40000</v>
      </c>
      <c r="G427">
        <v>10000</v>
      </c>
      <c r="H427">
        <v>8280</v>
      </c>
      <c r="I427" t="s">
        <v>36</v>
      </c>
    </row>
    <row r="428" spans="1:9" hidden="1" x14ac:dyDescent="0.35">
      <c r="A428" t="s">
        <v>204</v>
      </c>
      <c r="B428" t="s">
        <v>63</v>
      </c>
      <c r="C428" t="s">
        <v>205</v>
      </c>
      <c r="D428" t="s">
        <v>198</v>
      </c>
      <c r="E428" t="s">
        <v>9</v>
      </c>
      <c r="F428">
        <v>22500</v>
      </c>
      <c r="G428">
        <v>1000</v>
      </c>
      <c r="H428">
        <v>140</v>
      </c>
      <c r="I428" t="s">
        <v>36</v>
      </c>
    </row>
    <row r="429" spans="1:9" hidden="1" x14ac:dyDescent="0.35">
      <c r="A429" t="s">
        <v>204</v>
      </c>
      <c r="B429" t="s">
        <v>63</v>
      </c>
      <c r="C429" t="s">
        <v>205</v>
      </c>
      <c r="D429" t="s">
        <v>198</v>
      </c>
      <c r="E429" t="s">
        <v>12</v>
      </c>
      <c r="F429">
        <v>240000</v>
      </c>
      <c r="G429">
        <v>15000</v>
      </c>
      <c r="H429">
        <v>13478</v>
      </c>
      <c r="I429" t="s">
        <v>36</v>
      </c>
    </row>
    <row r="430" spans="1:9" hidden="1" x14ac:dyDescent="0.35">
      <c r="A430" t="s">
        <v>204</v>
      </c>
      <c r="B430" t="s">
        <v>63</v>
      </c>
      <c r="C430" t="s">
        <v>205</v>
      </c>
      <c r="D430" t="s">
        <v>198</v>
      </c>
      <c r="E430" t="s">
        <v>41</v>
      </c>
      <c r="F430">
        <v>261200</v>
      </c>
      <c r="G430">
        <v>50000</v>
      </c>
      <c r="H430">
        <v>42755.9</v>
      </c>
      <c r="I430" t="s">
        <v>36</v>
      </c>
    </row>
    <row r="431" spans="1:9" hidden="1" x14ac:dyDescent="0.35">
      <c r="A431" t="s">
        <v>204</v>
      </c>
      <c r="B431" t="s">
        <v>63</v>
      </c>
      <c r="C431" t="s">
        <v>205</v>
      </c>
      <c r="D431" t="s">
        <v>198</v>
      </c>
      <c r="E431" t="s">
        <v>6</v>
      </c>
      <c r="F431">
        <v>6000</v>
      </c>
      <c r="G431">
        <v>2100</v>
      </c>
      <c r="H431">
        <v>2090</v>
      </c>
      <c r="I431" t="s">
        <v>36</v>
      </c>
    </row>
    <row r="432" spans="1:9" hidden="1" x14ac:dyDescent="0.35">
      <c r="A432" t="s">
        <v>204</v>
      </c>
      <c r="B432" t="s">
        <v>63</v>
      </c>
      <c r="C432" t="s">
        <v>205</v>
      </c>
      <c r="D432" t="s">
        <v>199</v>
      </c>
      <c r="E432" t="s">
        <v>24</v>
      </c>
      <c r="F432">
        <v>201400</v>
      </c>
      <c r="G432">
        <v>26000</v>
      </c>
      <c r="H432">
        <v>24284.53</v>
      </c>
      <c r="I432" t="s">
        <v>36</v>
      </c>
    </row>
    <row r="433" spans="1:9" hidden="1" x14ac:dyDescent="0.35">
      <c r="A433" t="s">
        <v>204</v>
      </c>
      <c r="B433" t="s">
        <v>63</v>
      </c>
      <c r="C433" t="s">
        <v>205</v>
      </c>
      <c r="D433" t="s">
        <v>199</v>
      </c>
      <c r="E433" t="s">
        <v>19</v>
      </c>
      <c r="F433">
        <v>476500</v>
      </c>
      <c r="G433">
        <v>280000</v>
      </c>
      <c r="H433">
        <v>273813.53000000003</v>
      </c>
      <c r="I433" t="s">
        <v>36</v>
      </c>
    </row>
    <row r="434" spans="1:9" hidden="1" x14ac:dyDescent="0.35">
      <c r="A434" t="s">
        <v>204</v>
      </c>
      <c r="B434" t="s">
        <v>63</v>
      </c>
      <c r="C434" t="s">
        <v>205</v>
      </c>
      <c r="D434" t="s">
        <v>199</v>
      </c>
      <c r="E434" t="s">
        <v>25</v>
      </c>
      <c r="F434">
        <v>180500</v>
      </c>
      <c r="G434">
        <v>30000</v>
      </c>
      <c r="H434">
        <v>27880.45</v>
      </c>
      <c r="I434" t="s">
        <v>36</v>
      </c>
    </row>
    <row r="435" spans="1:9" hidden="1" x14ac:dyDescent="0.35">
      <c r="A435" t="s">
        <v>204</v>
      </c>
      <c r="B435" t="s">
        <v>63</v>
      </c>
      <c r="C435" t="s">
        <v>205</v>
      </c>
      <c r="D435" t="s">
        <v>199</v>
      </c>
      <c r="E435" t="s">
        <v>26</v>
      </c>
      <c r="F435">
        <v>136500</v>
      </c>
      <c r="G435">
        <v>34000</v>
      </c>
      <c r="H435">
        <v>30405.78</v>
      </c>
      <c r="I435" t="s">
        <v>36</v>
      </c>
    </row>
    <row r="436" spans="1:9" hidden="1" x14ac:dyDescent="0.35">
      <c r="A436" t="s">
        <v>204</v>
      </c>
      <c r="B436" t="s">
        <v>63</v>
      </c>
      <c r="C436" t="s">
        <v>205</v>
      </c>
      <c r="D436" t="s">
        <v>199</v>
      </c>
      <c r="E436" t="s">
        <v>30</v>
      </c>
      <c r="F436">
        <v>316700</v>
      </c>
      <c r="G436">
        <v>40000</v>
      </c>
      <c r="H436">
        <v>36877.050000000003</v>
      </c>
      <c r="I436" t="s">
        <v>36</v>
      </c>
    </row>
    <row r="437" spans="1:9" hidden="1" x14ac:dyDescent="0.35">
      <c r="A437" t="s">
        <v>204</v>
      </c>
      <c r="B437" t="s">
        <v>63</v>
      </c>
      <c r="C437" t="s">
        <v>205</v>
      </c>
      <c r="D437" t="s">
        <v>199</v>
      </c>
      <c r="E437" t="s">
        <v>35</v>
      </c>
      <c r="F437">
        <v>267000</v>
      </c>
      <c r="G437">
        <v>40000</v>
      </c>
      <c r="H437">
        <v>38372.879999999997</v>
      </c>
      <c r="I437" t="s">
        <v>36</v>
      </c>
    </row>
    <row r="438" spans="1:9" hidden="1" x14ac:dyDescent="0.35">
      <c r="A438" t="s">
        <v>204</v>
      </c>
      <c r="B438" t="s">
        <v>63</v>
      </c>
      <c r="C438" t="s">
        <v>205</v>
      </c>
      <c r="D438" t="s">
        <v>199</v>
      </c>
      <c r="E438" t="s">
        <v>22</v>
      </c>
      <c r="F438">
        <v>216500</v>
      </c>
      <c r="G438">
        <v>45000</v>
      </c>
      <c r="H438">
        <v>43266.74</v>
      </c>
      <c r="I438" t="s">
        <v>36</v>
      </c>
    </row>
    <row r="439" spans="1:9" hidden="1" x14ac:dyDescent="0.35">
      <c r="A439" t="s">
        <v>204</v>
      </c>
      <c r="B439" t="s">
        <v>63</v>
      </c>
      <c r="C439" t="s">
        <v>205</v>
      </c>
      <c r="D439" t="s">
        <v>199</v>
      </c>
      <c r="E439" t="s">
        <v>21</v>
      </c>
      <c r="F439">
        <v>262500</v>
      </c>
      <c r="G439">
        <v>46000</v>
      </c>
      <c r="H439">
        <v>44629.8</v>
      </c>
      <c r="I439" t="s">
        <v>36</v>
      </c>
    </row>
    <row r="440" spans="1:9" hidden="1" x14ac:dyDescent="0.35">
      <c r="A440" t="s">
        <v>204</v>
      </c>
      <c r="B440" t="s">
        <v>63</v>
      </c>
      <c r="C440" t="s">
        <v>205</v>
      </c>
      <c r="D440" t="s">
        <v>199</v>
      </c>
      <c r="E440" t="s">
        <v>18</v>
      </c>
      <c r="F440">
        <v>528000</v>
      </c>
      <c r="G440">
        <v>215000</v>
      </c>
      <c r="H440">
        <v>213466.56</v>
      </c>
      <c r="I440" t="s">
        <v>36</v>
      </c>
    </row>
    <row r="441" spans="1:9" hidden="1" x14ac:dyDescent="0.35">
      <c r="A441" t="s">
        <v>204</v>
      </c>
      <c r="B441" t="s">
        <v>63</v>
      </c>
      <c r="C441" t="s">
        <v>205</v>
      </c>
      <c r="D441" t="s">
        <v>199</v>
      </c>
      <c r="E441" t="s">
        <v>23</v>
      </c>
      <c r="F441">
        <v>236500</v>
      </c>
      <c r="G441">
        <v>45000</v>
      </c>
      <c r="H441">
        <v>42590.35</v>
      </c>
      <c r="I441" t="s">
        <v>36</v>
      </c>
    </row>
    <row r="442" spans="1:9" hidden="1" x14ac:dyDescent="0.35">
      <c r="A442" t="s">
        <v>204</v>
      </c>
      <c r="B442" t="s">
        <v>63</v>
      </c>
      <c r="C442" t="s">
        <v>205</v>
      </c>
      <c r="D442" t="s">
        <v>199</v>
      </c>
      <c r="E442" t="s">
        <v>32</v>
      </c>
      <c r="F442">
        <v>455500</v>
      </c>
      <c r="G442">
        <v>190000</v>
      </c>
      <c r="H442">
        <v>180101.86</v>
      </c>
      <c r="I442" t="s">
        <v>36</v>
      </c>
    </row>
    <row r="443" spans="1:9" hidden="1" x14ac:dyDescent="0.35">
      <c r="A443" t="s">
        <v>204</v>
      </c>
      <c r="B443" t="s">
        <v>63</v>
      </c>
      <c r="C443" t="s">
        <v>205</v>
      </c>
      <c r="D443" t="s">
        <v>199</v>
      </c>
      <c r="E443" t="s">
        <v>20</v>
      </c>
      <c r="F443">
        <v>206800</v>
      </c>
      <c r="G443">
        <v>50000</v>
      </c>
      <c r="H443">
        <v>40844.06</v>
      </c>
      <c r="I443" t="s">
        <v>36</v>
      </c>
    </row>
    <row r="444" spans="1:9" hidden="1" x14ac:dyDescent="0.35">
      <c r="A444" t="s">
        <v>204</v>
      </c>
      <c r="B444" t="s">
        <v>63</v>
      </c>
      <c r="C444" t="s">
        <v>205</v>
      </c>
      <c r="D444" t="s">
        <v>199</v>
      </c>
      <c r="E444" t="s">
        <v>31</v>
      </c>
      <c r="F444">
        <v>516000</v>
      </c>
      <c r="G444">
        <v>215000</v>
      </c>
      <c r="H444">
        <v>213605.31</v>
      </c>
      <c r="I444" t="s">
        <v>36</v>
      </c>
    </row>
    <row r="445" spans="1:9" hidden="1" x14ac:dyDescent="0.35">
      <c r="A445" t="s">
        <v>204</v>
      </c>
      <c r="B445" t="s">
        <v>63</v>
      </c>
      <c r="C445" t="s">
        <v>205</v>
      </c>
      <c r="D445" t="s">
        <v>199</v>
      </c>
      <c r="E445" t="s">
        <v>43</v>
      </c>
      <c r="F445">
        <v>183400</v>
      </c>
      <c r="G445">
        <v>25000</v>
      </c>
      <c r="H445">
        <v>22920.78</v>
      </c>
      <c r="I445" t="s">
        <v>36</v>
      </c>
    </row>
    <row r="446" spans="1:9" hidden="1" x14ac:dyDescent="0.35">
      <c r="A446" t="s">
        <v>204</v>
      </c>
      <c r="B446" t="s">
        <v>63</v>
      </c>
      <c r="C446" t="s">
        <v>205</v>
      </c>
      <c r="D446" t="s">
        <v>199</v>
      </c>
      <c r="E446" t="s">
        <v>17</v>
      </c>
      <c r="F446">
        <v>195400</v>
      </c>
      <c r="G446">
        <v>25000</v>
      </c>
      <c r="H446">
        <v>23762.46</v>
      </c>
      <c r="I446" t="s">
        <v>36</v>
      </c>
    </row>
    <row r="447" spans="1:9" hidden="1" x14ac:dyDescent="0.35">
      <c r="A447" t="s">
        <v>204</v>
      </c>
      <c r="B447" t="s">
        <v>63</v>
      </c>
      <c r="C447" t="s">
        <v>205</v>
      </c>
      <c r="D447" t="s">
        <v>199</v>
      </c>
      <c r="E447" t="s">
        <v>29</v>
      </c>
      <c r="F447">
        <v>185400</v>
      </c>
      <c r="G447">
        <v>25000</v>
      </c>
      <c r="H447">
        <v>20789.599999999999</v>
      </c>
      <c r="I447" t="s">
        <v>36</v>
      </c>
    </row>
    <row r="448" spans="1:9" hidden="1" x14ac:dyDescent="0.35">
      <c r="A448" t="s">
        <v>204</v>
      </c>
      <c r="B448" t="s">
        <v>63</v>
      </c>
      <c r="C448" t="s">
        <v>205</v>
      </c>
      <c r="D448" t="s">
        <v>199</v>
      </c>
      <c r="E448" t="s">
        <v>27</v>
      </c>
      <c r="F448">
        <v>502600</v>
      </c>
      <c r="G448">
        <v>225000</v>
      </c>
      <c r="H448">
        <v>223558.88</v>
      </c>
      <c r="I448" t="s">
        <v>36</v>
      </c>
    </row>
    <row r="449" spans="1:9" hidden="1" x14ac:dyDescent="0.35">
      <c r="A449" t="s">
        <v>204</v>
      </c>
      <c r="B449" t="s">
        <v>63</v>
      </c>
      <c r="C449" t="s">
        <v>205</v>
      </c>
      <c r="D449" t="s">
        <v>199</v>
      </c>
      <c r="E449" t="s">
        <v>33</v>
      </c>
      <c r="F449">
        <v>205900</v>
      </c>
      <c r="G449">
        <v>27000</v>
      </c>
      <c r="H449">
        <v>25127.01</v>
      </c>
      <c r="I449" t="s">
        <v>36</v>
      </c>
    </row>
    <row r="450" spans="1:9" hidden="1" x14ac:dyDescent="0.35">
      <c r="A450" t="s">
        <v>204</v>
      </c>
      <c r="B450" t="s">
        <v>63</v>
      </c>
      <c r="C450" t="s">
        <v>205</v>
      </c>
      <c r="D450" t="s">
        <v>199</v>
      </c>
      <c r="E450" t="s">
        <v>28</v>
      </c>
      <c r="F450">
        <v>180400</v>
      </c>
      <c r="G450">
        <v>23000</v>
      </c>
      <c r="H450">
        <v>21344.47</v>
      </c>
      <c r="I450" t="s">
        <v>36</v>
      </c>
    </row>
    <row r="451" spans="1:9" hidden="1" x14ac:dyDescent="0.35">
      <c r="A451" t="s">
        <v>206</v>
      </c>
      <c r="B451" t="s">
        <v>58</v>
      </c>
      <c r="C451" t="s">
        <v>207</v>
      </c>
      <c r="D451" t="s">
        <v>198</v>
      </c>
      <c r="E451" t="s">
        <v>16</v>
      </c>
      <c r="F451">
        <v>2162900</v>
      </c>
      <c r="G451">
        <v>400000</v>
      </c>
      <c r="H451">
        <v>376488.2</v>
      </c>
      <c r="I451" t="s">
        <v>36</v>
      </c>
    </row>
    <row r="452" spans="1:9" hidden="1" x14ac:dyDescent="0.35">
      <c r="A452" t="s">
        <v>206</v>
      </c>
      <c r="B452" t="s">
        <v>58</v>
      </c>
      <c r="C452" t="s">
        <v>207</v>
      </c>
      <c r="D452" t="s">
        <v>199</v>
      </c>
      <c r="E452" t="s">
        <v>24</v>
      </c>
      <c r="F452">
        <v>26740</v>
      </c>
      <c r="G452">
        <v>1000</v>
      </c>
      <c r="H452">
        <v>159.93</v>
      </c>
      <c r="I452" t="s">
        <v>36</v>
      </c>
    </row>
    <row r="453" spans="1:9" hidden="1" x14ac:dyDescent="0.35">
      <c r="A453" t="s">
        <v>206</v>
      </c>
      <c r="B453" t="s">
        <v>58</v>
      </c>
      <c r="C453" t="s">
        <v>207</v>
      </c>
      <c r="D453" t="s">
        <v>199</v>
      </c>
      <c r="E453" t="s">
        <v>19</v>
      </c>
      <c r="F453">
        <v>45930</v>
      </c>
      <c r="G453">
        <v>11400</v>
      </c>
      <c r="H453">
        <v>9585.2000000000007</v>
      </c>
      <c r="I453" t="s">
        <v>36</v>
      </c>
    </row>
    <row r="454" spans="1:9" hidden="1" x14ac:dyDescent="0.35">
      <c r="A454" t="s">
        <v>206</v>
      </c>
      <c r="B454" t="s">
        <v>58</v>
      </c>
      <c r="C454" t="s">
        <v>207</v>
      </c>
      <c r="D454" t="s">
        <v>199</v>
      </c>
      <c r="E454" t="s">
        <v>25</v>
      </c>
      <c r="F454">
        <v>46940</v>
      </c>
      <c r="G454">
        <v>1000</v>
      </c>
      <c r="H454">
        <v>60</v>
      </c>
      <c r="I454" t="s">
        <v>36</v>
      </c>
    </row>
    <row r="455" spans="1:9" hidden="1" x14ac:dyDescent="0.35">
      <c r="A455" t="s">
        <v>206</v>
      </c>
      <c r="B455" t="s">
        <v>58</v>
      </c>
      <c r="C455" t="s">
        <v>207</v>
      </c>
      <c r="D455" t="s">
        <v>199</v>
      </c>
      <c r="E455" t="s">
        <v>30</v>
      </c>
      <c r="F455">
        <v>38760</v>
      </c>
      <c r="G455">
        <v>1000</v>
      </c>
      <c r="H455">
        <v>35</v>
      </c>
      <c r="I455" t="s">
        <v>36</v>
      </c>
    </row>
    <row r="456" spans="1:9" hidden="1" x14ac:dyDescent="0.35">
      <c r="A456" t="s">
        <v>206</v>
      </c>
      <c r="B456" t="s">
        <v>58</v>
      </c>
      <c r="C456" t="s">
        <v>207</v>
      </c>
      <c r="D456" t="s">
        <v>199</v>
      </c>
      <c r="E456" t="s">
        <v>35</v>
      </c>
      <c r="F456">
        <v>50230</v>
      </c>
      <c r="G456">
        <v>43000</v>
      </c>
      <c r="H456">
        <v>41224</v>
      </c>
      <c r="I456" t="s">
        <v>36</v>
      </c>
    </row>
    <row r="457" spans="1:9" hidden="1" x14ac:dyDescent="0.35">
      <c r="A457" t="s">
        <v>206</v>
      </c>
      <c r="B457" t="s">
        <v>58</v>
      </c>
      <c r="C457" t="s">
        <v>207</v>
      </c>
      <c r="D457" t="s">
        <v>199</v>
      </c>
      <c r="E457" t="s">
        <v>21</v>
      </c>
      <c r="F457">
        <v>33190</v>
      </c>
      <c r="G457">
        <v>1000</v>
      </c>
      <c r="H457">
        <v>220</v>
      </c>
      <c r="I457" t="s">
        <v>36</v>
      </c>
    </row>
    <row r="458" spans="1:9" hidden="1" x14ac:dyDescent="0.35">
      <c r="A458" t="s">
        <v>206</v>
      </c>
      <c r="B458" t="s">
        <v>58</v>
      </c>
      <c r="C458" t="s">
        <v>207</v>
      </c>
      <c r="D458" t="s">
        <v>199</v>
      </c>
      <c r="E458" t="s">
        <v>23</v>
      </c>
      <c r="F458">
        <v>44920</v>
      </c>
      <c r="G458">
        <v>25000</v>
      </c>
      <c r="H458">
        <v>21330.5</v>
      </c>
      <c r="I458" t="s">
        <v>36</v>
      </c>
    </row>
    <row r="459" spans="1:9" hidden="1" x14ac:dyDescent="0.35">
      <c r="A459" t="s">
        <v>206</v>
      </c>
      <c r="B459" t="s">
        <v>58</v>
      </c>
      <c r="C459" t="s">
        <v>207</v>
      </c>
      <c r="D459" t="s">
        <v>199</v>
      </c>
      <c r="E459" t="s">
        <v>32</v>
      </c>
      <c r="F459">
        <v>45930</v>
      </c>
      <c r="G459">
        <v>100</v>
      </c>
      <c r="H459">
        <v>60</v>
      </c>
      <c r="I459" t="s">
        <v>36</v>
      </c>
    </row>
    <row r="460" spans="1:9" hidden="1" x14ac:dyDescent="0.35">
      <c r="A460" t="s">
        <v>206</v>
      </c>
      <c r="B460" t="s">
        <v>58</v>
      </c>
      <c r="C460" t="s">
        <v>207</v>
      </c>
      <c r="D460" t="s">
        <v>199</v>
      </c>
      <c r="E460" t="s">
        <v>20</v>
      </c>
      <c r="F460">
        <v>44920</v>
      </c>
      <c r="G460">
        <v>1000</v>
      </c>
      <c r="H460">
        <v>405</v>
      </c>
      <c r="I460" t="s">
        <v>36</v>
      </c>
    </row>
    <row r="461" spans="1:9" hidden="1" x14ac:dyDescent="0.35">
      <c r="A461" t="s">
        <v>206</v>
      </c>
      <c r="B461" t="s">
        <v>58</v>
      </c>
      <c r="C461" t="s">
        <v>207</v>
      </c>
      <c r="D461" t="s">
        <v>199</v>
      </c>
      <c r="E461" t="s">
        <v>31</v>
      </c>
      <c r="F461">
        <v>66310</v>
      </c>
      <c r="G461">
        <v>10000</v>
      </c>
      <c r="H461">
        <v>7056.32</v>
      </c>
      <c r="I461" t="s">
        <v>36</v>
      </c>
    </row>
    <row r="462" spans="1:9" hidden="1" x14ac:dyDescent="0.35">
      <c r="A462" t="s">
        <v>206</v>
      </c>
      <c r="B462" t="s">
        <v>58</v>
      </c>
      <c r="C462" t="s">
        <v>207</v>
      </c>
      <c r="D462" t="s">
        <v>199</v>
      </c>
      <c r="E462" t="s">
        <v>43</v>
      </c>
      <c r="F462">
        <v>33560</v>
      </c>
      <c r="G462">
        <v>8000</v>
      </c>
      <c r="H462">
        <v>4203.12</v>
      </c>
      <c r="I462" t="s">
        <v>36</v>
      </c>
    </row>
    <row r="463" spans="1:9" hidden="1" x14ac:dyDescent="0.35">
      <c r="A463" t="s">
        <v>206</v>
      </c>
      <c r="B463" t="s">
        <v>58</v>
      </c>
      <c r="C463" t="s">
        <v>207</v>
      </c>
      <c r="D463" t="s">
        <v>199</v>
      </c>
      <c r="E463" t="s">
        <v>17</v>
      </c>
      <c r="F463">
        <v>30940</v>
      </c>
      <c r="G463">
        <v>7000</v>
      </c>
      <c r="H463">
        <v>3677.79</v>
      </c>
      <c r="I463" t="s">
        <v>36</v>
      </c>
    </row>
    <row r="464" spans="1:9" hidden="1" x14ac:dyDescent="0.35">
      <c r="A464" t="s">
        <v>206</v>
      </c>
      <c r="B464" t="s">
        <v>58</v>
      </c>
      <c r="C464" t="s">
        <v>207</v>
      </c>
      <c r="D464" t="s">
        <v>199</v>
      </c>
      <c r="E464" t="s">
        <v>29</v>
      </c>
      <c r="F464">
        <v>29630</v>
      </c>
      <c r="G464">
        <v>10000</v>
      </c>
      <c r="H464">
        <v>7547.77</v>
      </c>
      <c r="I464" t="s">
        <v>36</v>
      </c>
    </row>
    <row r="465" spans="1:9" hidden="1" x14ac:dyDescent="0.35">
      <c r="A465" t="s">
        <v>206</v>
      </c>
      <c r="B465" t="s">
        <v>58</v>
      </c>
      <c r="C465" t="s">
        <v>207</v>
      </c>
      <c r="D465" t="s">
        <v>199</v>
      </c>
      <c r="E465" t="s">
        <v>27</v>
      </c>
      <c r="F465">
        <v>66310</v>
      </c>
      <c r="G465">
        <v>16000</v>
      </c>
      <c r="H465">
        <v>12060.42</v>
      </c>
      <c r="I465" t="s">
        <v>36</v>
      </c>
    </row>
    <row r="466" spans="1:9" hidden="1" x14ac:dyDescent="0.35">
      <c r="A466" t="s">
        <v>206</v>
      </c>
      <c r="B466" t="s">
        <v>58</v>
      </c>
      <c r="C466" t="s">
        <v>207</v>
      </c>
      <c r="D466" t="s">
        <v>199</v>
      </c>
      <c r="E466" t="s">
        <v>33</v>
      </c>
      <c r="F466">
        <v>79630</v>
      </c>
      <c r="G466">
        <v>6000</v>
      </c>
      <c r="H466">
        <v>4088.6</v>
      </c>
      <c r="I466" t="s">
        <v>36</v>
      </c>
    </row>
    <row r="467" spans="1:9" hidden="1" x14ac:dyDescent="0.35">
      <c r="A467" t="s">
        <v>206</v>
      </c>
      <c r="B467" t="s">
        <v>58</v>
      </c>
      <c r="C467" t="s">
        <v>207</v>
      </c>
      <c r="D467" t="s">
        <v>199</v>
      </c>
      <c r="E467" t="s">
        <v>28</v>
      </c>
      <c r="F467">
        <v>30940</v>
      </c>
      <c r="G467">
        <v>10000</v>
      </c>
      <c r="H467">
        <v>6841.24</v>
      </c>
      <c r="I467" t="s">
        <v>36</v>
      </c>
    </row>
    <row r="468" spans="1:9" hidden="1" x14ac:dyDescent="0.35">
      <c r="A468" t="s">
        <v>278</v>
      </c>
      <c r="B468" t="s">
        <v>64</v>
      </c>
      <c r="C468" t="s">
        <v>279</v>
      </c>
      <c r="D468" t="s">
        <v>198</v>
      </c>
      <c r="E468" t="s">
        <v>16</v>
      </c>
      <c r="F468">
        <v>22500000</v>
      </c>
      <c r="G468">
        <v>6000000</v>
      </c>
      <c r="H468">
        <v>5828867.25</v>
      </c>
      <c r="I468" t="s">
        <v>36</v>
      </c>
    </row>
    <row r="469" spans="1:9" hidden="1" x14ac:dyDescent="0.35">
      <c r="B469" t="s">
        <v>84</v>
      </c>
      <c r="C469" t="s">
        <v>88</v>
      </c>
      <c r="D469" t="s">
        <v>198</v>
      </c>
      <c r="E469" t="s">
        <v>12</v>
      </c>
      <c r="F469">
        <v>848700</v>
      </c>
      <c r="G469">
        <v>100000</v>
      </c>
      <c r="H469">
        <v>97455</v>
      </c>
      <c r="I469" t="s">
        <v>37</v>
      </c>
    </row>
    <row r="470" spans="1:9" hidden="1" x14ac:dyDescent="0.35">
      <c r="B470" t="s">
        <v>84</v>
      </c>
      <c r="C470" t="s">
        <v>88</v>
      </c>
      <c r="D470" t="s">
        <v>199</v>
      </c>
      <c r="E470" t="s">
        <v>24</v>
      </c>
      <c r="F470">
        <v>2000</v>
      </c>
      <c r="G470">
        <v>1000</v>
      </c>
      <c r="H470">
        <v>650</v>
      </c>
      <c r="I470" t="s">
        <v>37</v>
      </c>
    </row>
    <row r="471" spans="1:9" hidden="1" x14ac:dyDescent="0.35">
      <c r="B471" t="s">
        <v>84</v>
      </c>
      <c r="C471" t="s">
        <v>88</v>
      </c>
      <c r="D471" t="s">
        <v>199</v>
      </c>
      <c r="E471" t="s">
        <v>26</v>
      </c>
      <c r="F471">
        <v>15900</v>
      </c>
      <c r="G471">
        <v>1000</v>
      </c>
      <c r="H471">
        <v>850</v>
      </c>
      <c r="I471" t="s">
        <v>37</v>
      </c>
    </row>
    <row r="472" spans="1:9" hidden="1" x14ac:dyDescent="0.35">
      <c r="B472" t="s">
        <v>84</v>
      </c>
      <c r="C472" t="s">
        <v>88</v>
      </c>
      <c r="D472" t="s">
        <v>199</v>
      </c>
      <c r="E472" t="s">
        <v>30</v>
      </c>
      <c r="F472">
        <v>8900</v>
      </c>
      <c r="G472">
        <v>3000</v>
      </c>
      <c r="H472">
        <v>2550</v>
      </c>
      <c r="I472" t="s">
        <v>37</v>
      </c>
    </row>
    <row r="473" spans="1:9" hidden="1" x14ac:dyDescent="0.35">
      <c r="B473" t="s">
        <v>84</v>
      </c>
      <c r="C473" t="s">
        <v>88</v>
      </c>
      <c r="D473" t="s">
        <v>199</v>
      </c>
      <c r="E473" t="s">
        <v>35</v>
      </c>
      <c r="F473">
        <v>17900</v>
      </c>
      <c r="G473">
        <v>1000</v>
      </c>
      <c r="H473">
        <v>850</v>
      </c>
      <c r="I473" t="s">
        <v>37</v>
      </c>
    </row>
    <row r="474" spans="1:9" hidden="1" x14ac:dyDescent="0.35">
      <c r="B474" t="s">
        <v>84</v>
      </c>
      <c r="C474" t="s">
        <v>88</v>
      </c>
      <c r="D474" t="s">
        <v>199</v>
      </c>
      <c r="E474" t="s">
        <v>22</v>
      </c>
      <c r="F474">
        <v>3900</v>
      </c>
      <c r="G474">
        <v>2000</v>
      </c>
      <c r="H474">
        <v>1300</v>
      </c>
      <c r="I474" t="s">
        <v>37</v>
      </c>
    </row>
    <row r="475" spans="1:9" hidden="1" x14ac:dyDescent="0.35">
      <c r="B475" t="s">
        <v>84</v>
      </c>
      <c r="C475" t="s">
        <v>88</v>
      </c>
      <c r="D475" t="s">
        <v>199</v>
      </c>
      <c r="E475" t="s">
        <v>21</v>
      </c>
      <c r="F475">
        <v>15900</v>
      </c>
      <c r="G475">
        <v>2000</v>
      </c>
      <c r="H475">
        <v>1300</v>
      </c>
      <c r="I475" t="s">
        <v>37</v>
      </c>
    </row>
    <row r="476" spans="1:9" hidden="1" x14ac:dyDescent="0.35">
      <c r="B476" t="s">
        <v>84</v>
      </c>
      <c r="C476" t="s">
        <v>88</v>
      </c>
      <c r="D476" t="s">
        <v>199</v>
      </c>
      <c r="E476" t="s">
        <v>18</v>
      </c>
      <c r="F476">
        <v>3900</v>
      </c>
      <c r="G476">
        <v>2000</v>
      </c>
      <c r="H476">
        <v>1500</v>
      </c>
      <c r="I476" t="s">
        <v>37</v>
      </c>
    </row>
    <row r="477" spans="1:9" hidden="1" x14ac:dyDescent="0.35">
      <c r="B477" t="s">
        <v>84</v>
      </c>
      <c r="C477" t="s">
        <v>88</v>
      </c>
      <c r="D477" t="s">
        <v>199</v>
      </c>
      <c r="E477" t="s">
        <v>23</v>
      </c>
      <c r="F477">
        <v>3900</v>
      </c>
      <c r="G477">
        <v>2000</v>
      </c>
      <c r="H477">
        <v>1050</v>
      </c>
      <c r="I477" t="s">
        <v>37</v>
      </c>
    </row>
    <row r="478" spans="1:9" hidden="1" x14ac:dyDescent="0.35">
      <c r="B478" t="s">
        <v>84</v>
      </c>
      <c r="C478" t="s">
        <v>88</v>
      </c>
      <c r="D478" t="s">
        <v>199</v>
      </c>
      <c r="E478" t="s">
        <v>32</v>
      </c>
      <c r="F478">
        <v>3900</v>
      </c>
      <c r="G478">
        <v>2000</v>
      </c>
      <c r="H478">
        <v>1050</v>
      </c>
      <c r="I478" t="s">
        <v>37</v>
      </c>
    </row>
    <row r="479" spans="1:9" hidden="1" x14ac:dyDescent="0.35">
      <c r="B479" t="s">
        <v>84</v>
      </c>
      <c r="C479" t="s">
        <v>88</v>
      </c>
      <c r="D479" t="s">
        <v>199</v>
      </c>
      <c r="E479" t="s">
        <v>27</v>
      </c>
      <c r="F479">
        <v>15900</v>
      </c>
      <c r="G479">
        <v>9000</v>
      </c>
      <c r="H479">
        <v>8210</v>
      </c>
      <c r="I479" t="s">
        <v>37</v>
      </c>
    </row>
    <row r="480" spans="1:9" hidden="1" x14ac:dyDescent="0.35">
      <c r="B480" t="s">
        <v>76</v>
      </c>
      <c r="C480" t="s">
        <v>90</v>
      </c>
      <c r="D480" t="s">
        <v>198</v>
      </c>
      <c r="E480" t="s">
        <v>13</v>
      </c>
      <c r="F480">
        <v>392700</v>
      </c>
      <c r="G480">
        <v>50000</v>
      </c>
      <c r="H480">
        <v>45927</v>
      </c>
      <c r="I480" t="s">
        <v>37</v>
      </c>
    </row>
    <row r="481" spans="2:9" hidden="1" x14ac:dyDescent="0.35">
      <c r="B481" t="s">
        <v>76</v>
      </c>
      <c r="C481" t="s">
        <v>90</v>
      </c>
      <c r="D481" t="s">
        <v>199</v>
      </c>
      <c r="E481" t="s">
        <v>25</v>
      </c>
      <c r="F481">
        <v>18000</v>
      </c>
      <c r="G481">
        <v>7000</v>
      </c>
      <c r="H481">
        <v>6767.35</v>
      </c>
      <c r="I481" t="s">
        <v>37</v>
      </c>
    </row>
    <row r="482" spans="2:9" hidden="1" x14ac:dyDescent="0.35">
      <c r="B482" t="s">
        <v>76</v>
      </c>
      <c r="C482" t="s">
        <v>90</v>
      </c>
      <c r="D482" t="s">
        <v>199</v>
      </c>
      <c r="E482" t="s">
        <v>23</v>
      </c>
      <c r="F482">
        <v>18300</v>
      </c>
      <c r="G482">
        <v>5000</v>
      </c>
      <c r="H482">
        <v>4800</v>
      </c>
      <c r="I482" t="s">
        <v>37</v>
      </c>
    </row>
    <row r="483" spans="2:9" hidden="1" x14ac:dyDescent="0.35">
      <c r="B483" t="s">
        <v>76</v>
      </c>
      <c r="C483" t="s">
        <v>90</v>
      </c>
      <c r="D483" t="s">
        <v>199</v>
      </c>
      <c r="E483" t="s">
        <v>17</v>
      </c>
      <c r="F483">
        <v>34000</v>
      </c>
      <c r="G483">
        <v>23000</v>
      </c>
      <c r="H483">
        <v>22494</v>
      </c>
      <c r="I483" t="s">
        <v>37</v>
      </c>
    </row>
    <row r="484" spans="2:9" hidden="1" x14ac:dyDescent="0.35">
      <c r="B484" t="s">
        <v>82</v>
      </c>
      <c r="C484" t="s">
        <v>92</v>
      </c>
      <c r="D484" t="s">
        <v>199</v>
      </c>
      <c r="E484" t="s">
        <v>26</v>
      </c>
      <c r="F484">
        <v>4000</v>
      </c>
      <c r="G484">
        <v>3000</v>
      </c>
      <c r="H484">
        <v>2600</v>
      </c>
      <c r="I484" t="s">
        <v>37</v>
      </c>
    </row>
    <row r="485" spans="2:9" hidden="1" x14ac:dyDescent="0.35">
      <c r="B485" t="s">
        <v>82</v>
      </c>
      <c r="C485" t="s">
        <v>92</v>
      </c>
      <c r="D485" t="s">
        <v>199</v>
      </c>
      <c r="E485" t="s">
        <v>21</v>
      </c>
      <c r="F485">
        <v>4000</v>
      </c>
      <c r="G485">
        <v>4000</v>
      </c>
      <c r="H485">
        <v>3668</v>
      </c>
      <c r="I485" t="s">
        <v>37</v>
      </c>
    </row>
    <row r="486" spans="2:9" hidden="1" x14ac:dyDescent="0.35">
      <c r="B486" t="s">
        <v>82</v>
      </c>
      <c r="C486" t="s">
        <v>92</v>
      </c>
      <c r="D486" t="s">
        <v>199</v>
      </c>
      <c r="E486" t="s">
        <v>23</v>
      </c>
      <c r="F486">
        <v>4500</v>
      </c>
      <c r="G486">
        <v>4500</v>
      </c>
      <c r="H486">
        <v>4440</v>
      </c>
      <c r="I486" t="s">
        <v>37</v>
      </c>
    </row>
    <row r="487" spans="2:9" hidden="1" x14ac:dyDescent="0.35">
      <c r="B487" t="s">
        <v>83</v>
      </c>
      <c r="C487" t="s">
        <v>96</v>
      </c>
      <c r="D487" t="s">
        <v>198</v>
      </c>
      <c r="E487" t="s">
        <v>11</v>
      </c>
      <c r="F487">
        <v>5836800</v>
      </c>
      <c r="G487">
        <v>1000000</v>
      </c>
      <c r="H487">
        <v>799375.4</v>
      </c>
      <c r="I487" t="s">
        <v>37</v>
      </c>
    </row>
    <row r="488" spans="2:9" hidden="1" x14ac:dyDescent="0.35">
      <c r="B488" t="s">
        <v>83</v>
      </c>
      <c r="C488" t="s">
        <v>96</v>
      </c>
      <c r="D488" t="s">
        <v>199</v>
      </c>
      <c r="E488" t="s">
        <v>23</v>
      </c>
      <c r="F488">
        <v>4500</v>
      </c>
      <c r="G488">
        <v>4500</v>
      </c>
      <c r="H488">
        <v>4440</v>
      </c>
      <c r="I488" t="s">
        <v>37</v>
      </c>
    </row>
    <row r="489" spans="2:9" hidden="1" x14ac:dyDescent="0.35">
      <c r="B489" t="s">
        <v>79</v>
      </c>
      <c r="C489" t="s">
        <v>99</v>
      </c>
      <c r="D489" t="s">
        <v>199</v>
      </c>
      <c r="E489" t="s">
        <v>24</v>
      </c>
      <c r="F489">
        <v>20000</v>
      </c>
      <c r="G489">
        <v>2000</v>
      </c>
      <c r="H489">
        <v>1753.9</v>
      </c>
      <c r="I489" t="s">
        <v>37</v>
      </c>
    </row>
    <row r="490" spans="2:9" hidden="1" x14ac:dyDescent="0.35">
      <c r="B490" t="s">
        <v>79</v>
      </c>
      <c r="C490" t="s">
        <v>99</v>
      </c>
      <c r="D490" t="s">
        <v>199</v>
      </c>
      <c r="E490" t="s">
        <v>19</v>
      </c>
      <c r="F490">
        <v>20000</v>
      </c>
      <c r="G490">
        <v>4000</v>
      </c>
      <c r="H490">
        <v>3863.95</v>
      </c>
      <c r="I490" t="s">
        <v>37</v>
      </c>
    </row>
    <row r="491" spans="2:9" hidden="1" x14ac:dyDescent="0.35">
      <c r="B491" t="s">
        <v>79</v>
      </c>
      <c r="C491" t="s">
        <v>99</v>
      </c>
      <c r="D491" t="s">
        <v>199</v>
      </c>
      <c r="E491" t="s">
        <v>25</v>
      </c>
      <c r="F491">
        <v>20000</v>
      </c>
      <c r="G491">
        <v>1000</v>
      </c>
      <c r="H491">
        <v>92.4</v>
      </c>
      <c r="I491" t="s">
        <v>37</v>
      </c>
    </row>
    <row r="492" spans="2:9" hidden="1" x14ac:dyDescent="0.35">
      <c r="B492" t="s">
        <v>79</v>
      </c>
      <c r="C492" t="s">
        <v>99</v>
      </c>
      <c r="D492" t="s">
        <v>199</v>
      </c>
      <c r="E492" t="s">
        <v>26</v>
      </c>
      <c r="F492">
        <v>20000</v>
      </c>
      <c r="G492">
        <v>3000</v>
      </c>
      <c r="H492">
        <v>2291</v>
      </c>
      <c r="I492" t="s">
        <v>37</v>
      </c>
    </row>
    <row r="493" spans="2:9" hidden="1" x14ac:dyDescent="0.35">
      <c r="B493" t="s">
        <v>79</v>
      </c>
      <c r="C493" t="s">
        <v>99</v>
      </c>
      <c r="D493" t="s">
        <v>199</v>
      </c>
      <c r="E493" t="s">
        <v>22</v>
      </c>
      <c r="F493">
        <v>20000</v>
      </c>
      <c r="G493">
        <v>1000</v>
      </c>
      <c r="H493">
        <v>200</v>
      </c>
      <c r="I493" t="s">
        <v>37</v>
      </c>
    </row>
    <row r="494" spans="2:9" hidden="1" x14ac:dyDescent="0.35">
      <c r="B494" t="s">
        <v>79</v>
      </c>
      <c r="C494" t="s">
        <v>99</v>
      </c>
      <c r="D494" t="s">
        <v>199</v>
      </c>
      <c r="E494" t="s">
        <v>18</v>
      </c>
      <c r="F494">
        <v>20000</v>
      </c>
      <c r="G494">
        <v>4000</v>
      </c>
      <c r="H494">
        <v>3800</v>
      </c>
      <c r="I494" t="s">
        <v>37</v>
      </c>
    </row>
    <row r="495" spans="2:9" hidden="1" x14ac:dyDescent="0.35">
      <c r="B495" t="s">
        <v>79</v>
      </c>
      <c r="C495" t="s">
        <v>99</v>
      </c>
      <c r="D495" t="s">
        <v>199</v>
      </c>
      <c r="E495" t="s">
        <v>23</v>
      </c>
      <c r="F495">
        <v>20000</v>
      </c>
      <c r="G495">
        <v>7000</v>
      </c>
      <c r="H495">
        <v>6171.49</v>
      </c>
      <c r="I495" t="s">
        <v>37</v>
      </c>
    </row>
    <row r="496" spans="2:9" hidden="1" x14ac:dyDescent="0.35">
      <c r="B496" t="s">
        <v>79</v>
      </c>
      <c r="C496" t="s">
        <v>99</v>
      </c>
      <c r="D496" t="s">
        <v>199</v>
      </c>
      <c r="E496" t="s">
        <v>32</v>
      </c>
      <c r="F496">
        <v>20000</v>
      </c>
      <c r="G496">
        <v>2000</v>
      </c>
      <c r="H496">
        <v>1751.6</v>
      </c>
      <c r="I496" t="s">
        <v>37</v>
      </c>
    </row>
    <row r="497" spans="2:9" hidden="1" x14ac:dyDescent="0.35">
      <c r="B497" t="s">
        <v>79</v>
      </c>
      <c r="C497" t="s">
        <v>99</v>
      </c>
      <c r="D497" t="s">
        <v>199</v>
      </c>
      <c r="E497" t="s">
        <v>27</v>
      </c>
      <c r="F497">
        <v>8000</v>
      </c>
      <c r="G497">
        <v>2000</v>
      </c>
      <c r="H497">
        <v>1579.85</v>
      </c>
      <c r="I497" t="s">
        <v>37</v>
      </c>
    </row>
    <row r="498" spans="2:9" hidden="1" x14ac:dyDescent="0.35">
      <c r="B498" t="s">
        <v>79</v>
      </c>
      <c r="C498" t="s">
        <v>99</v>
      </c>
      <c r="D498" t="s">
        <v>199</v>
      </c>
      <c r="E498" t="s">
        <v>28</v>
      </c>
      <c r="F498">
        <v>4000</v>
      </c>
      <c r="G498">
        <v>1000</v>
      </c>
      <c r="H498">
        <v>855</v>
      </c>
      <c r="I498" t="s">
        <v>37</v>
      </c>
    </row>
    <row r="499" spans="2:9" hidden="1" x14ac:dyDescent="0.35">
      <c r="B499" t="s">
        <v>79</v>
      </c>
      <c r="C499" t="s">
        <v>101</v>
      </c>
      <c r="D499" t="s">
        <v>199</v>
      </c>
      <c r="E499" t="s">
        <v>24</v>
      </c>
      <c r="F499">
        <v>32500</v>
      </c>
      <c r="G499">
        <v>7000</v>
      </c>
      <c r="H499">
        <v>6413.7000000000007</v>
      </c>
      <c r="I499" t="s">
        <v>37</v>
      </c>
    </row>
    <row r="500" spans="2:9" hidden="1" x14ac:dyDescent="0.35">
      <c r="B500" t="s">
        <v>79</v>
      </c>
      <c r="C500" t="s">
        <v>101</v>
      </c>
      <c r="D500" t="s">
        <v>199</v>
      </c>
      <c r="E500" t="s">
        <v>19</v>
      </c>
      <c r="F500">
        <v>37000</v>
      </c>
      <c r="G500">
        <v>7000</v>
      </c>
      <c r="H500">
        <v>6154.6</v>
      </c>
      <c r="I500" t="s">
        <v>37</v>
      </c>
    </row>
    <row r="501" spans="2:9" hidden="1" x14ac:dyDescent="0.35">
      <c r="B501" t="s">
        <v>79</v>
      </c>
      <c r="C501" t="s">
        <v>101</v>
      </c>
      <c r="D501" t="s">
        <v>199</v>
      </c>
      <c r="E501" t="s">
        <v>25</v>
      </c>
      <c r="F501">
        <v>41500</v>
      </c>
      <c r="G501">
        <v>13000</v>
      </c>
      <c r="H501">
        <v>12462.4</v>
      </c>
      <c r="I501" t="s">
        <v>37</v>
      </c>
    </row>
    <row r="502" spans="2:9" hidden="1" x14ac:dyDescent="0.35">
      <c r="B502" t="s">
        <v>79</v>
      </c>
      <c r="C502" t="s">
        <v>101</v>
      </c>
      <c r="D502" t="s">
        <v>199</v>
      </c>
      <c r="E502" t="s">
        <v>26</v>
      </c>
      <c r="F502">
        <v>41500</v>
      </c>
      <c r="G502">
        <v>7000</v>
      </c>
      <c r="H502">
        <v>6470.62</v>
      </c>
      <c r="I502" t="s">
        <v>37</v>
      </c>
    </row>
    <row r="503" spans="2:9" hidden="1" x14ac:dyDescent="0.35">
      <c r="B503" t="s">
        <v>79</v>
      </c>
      <c r="C503" t="s">
        <v>101</v>
      </c>
      <c r="D503" t="s">
        <v>199</v>
      </c>
      <c r="E503" t="s">
        <v>30</v>
      </c>
      <c r="F503">
        <v>55000</v>
      </c>
      <c r="G503">
        <v>10000</v>
      </c>
      <c r="H503">
        <v>9604</v>
      </c>
      <c r="I503" t="s">
        <v>37</v>
      </c>
    </row>
    <row r="504" spans="2:9" hidden="1" x14ac:dyDescent="0.35">
      <c r="B504" t="s">
        <v>79</v>
      </c>
      <c r="C504" t="s">
        <v>101</v>
      </c>
      <c r="D504" t="s">
        <v>199</v>
      </c>
      <c r="E504" t="s">
        <v>35</v>
      </c>
      <c r="F504">
        <v>55000</v>
      </c>
      <c r="G504">
        <v>20000</v>
      </c>
      <c r="H504">
        <v>18464.849999999999</v>
      </c>
      <c r="I504" t="s">
        <v>37</v>
      </c>
    </row>
    <row r="505" spans="2:9" hidden="1" x14ac:dyDescent="0.35">
      <c r="B505" t="s">
        <v>79</v>
      </c>
      <c r="C505" t="s">
        <v>101</v>
      </c>
      <c r="D505" t="s">
        <v>199</v>
      </c>
      <c r="E505" t="s">
        <v>22</v>
      </c>
      <c r="F505">
        <v>37000</v>
      </c>
      <c r="G505">
        <v>10000</v>
      </c>
      <c r="H505">
        <v>9326.85</v>
      </c>
      <c r="I505" t="s">
        <v>37</v>
      </c>
    </row>
    <row r="506" spans="2:9" hidden="1" x14ac:dyDescent="0.35">
      <c r="B506" t="s">
        <v>79</v>
      </c>
      <c r="C506" t="s">
        <v>101</v>
      </c>
      <c r="D506" t="s">
        <v>199</v>
      </c>
      <c r="E506" t="s">
        <v>21</v>
      </c>
      <c r="F506">
        <v>37000</v>
      </c>
      <c r="G506">
        <v>9000</v>
      </c>
      <c r="H506">
        <v>8981.4</v>
      </c>
      <c r="I506" t="s">
        <v>37</v>
      </c>
    </row>
    <row r="507" spans="2:9" hidden="1" x14ac:dyDescent="0.35">
      <c r="B507" t="s">
        <v>79</v>
      </c>
      <c r="C507" t="s">
        <v>101</v>
      </c>
      <c r="D507" t="s">
        <v>199</v>
      </c>
      <c r="E507" t="s">
        <v>18</v>
      </c>
      <c r="F507">
        <v>55000</v>
      </c>
      <c r="G507">
        <v>11000</v>
      </c>
      <c r="H507">
        <v>10089.6</v>
      </c>
      <c r="I507" t="s">
        <v>37</v>
      </c>
    </row>
    <row r="508" spans="2:9" hidden="1" x14ac:dyDescent="0.35">
      <c r="B508" t="s">
        <v>79</v>
      </c>
      <c r="C508" t="s">
        <v>101</v>
      </c>
      <c r="D508" t="s">
        <v>199</v>
      </c>
      <c r="E508" t="s">
        <v>23</v>
      </c>
      <c r="F508">
        <v>41500</v>
      </c>
      <c r="G508">
        <v>14000</v>
      </c>
      <c r="H508">
        <v>13040.3</v>
      </c>
      <c r="I508" t="s">
        <v>37</v>
      </c>
    </row>
    <row r="509" spans="2:9" hidden="1" x14ac:dyDescent="0.35">
      <c r="B509" t="s">
        <v>79</v>
      </c>
      <c r="C509" t="s">
        <v>101</v>
      </c>
      <c r="D509" t="s">
        <v>199</v>
      </c>
      <c r="E509" t="s">
        <v>32</v>
      </c>
      <c r="F509">
        <v>37000</v>
      </c>
      <c r="G509">
        <v>7000</v>
      </c>
      <c r="H509">
        <v>6673.6</v>
      </c>
      <c r="I509" t="s">
        <v>37</v>
      </c>
    </row>
    <row r="510" spans="2:9" hidden="1" x14ac:dyDescent="0.35">
      <c r="B510" t="s">
        <v>79</v>
      </c>
      <c r="C510" t="s">
        <v>101</v>
      </c>
      <c r="D510" t="s">
        <v>199</v>
      </c>
      <c r="E510" t="s">
        <v>20</v>
      </c>
      <c r="F510">
        <v>32500</v>
      </c>
      <c r="G510">
        <v>14000</v>
      </c>
      <c r="H510">
        <v>13904.330000000002</v>
      </c>
      <c r="I510" t="s">
        <v>37</v>
      </c>
    </row>
    <row r="511" spans="2:9" hidden="1" x14ac:dyDescent="0.35">
      <c r="B511" t="s">
        <v>79</v>
      </c>
      <c r="C511" t="s">
        <v>101</v>
      </c>
      <c r="D511" t="s">
        <v>199</v>
      </c>
      <c r="E511" t="s">
        <v>31</v>
      </c>
      <c r="F511">
        <v>31000</v>
      </c>
      <c r="G511">
        <v>11000</v>
      </c>
      <c r="H511">
        <v>10630.1</v>
      </c>
      <c r="I511" t="s">
        <v>37</v>
      </c>
    </row>
    <row r="512" spans="2:9" hidden="1" x14ac:dyDescent="0.35">
      <c r="B512" t="s">
        <v>79</v>
      </c>
      <c r="C512" t="s">
        <v>101</v>
      </c>
      <c r="D512" t="s">
        <v>199</v>
      </c>
      <c r="E512" t="s">
        <v>43</v>
      </c>
      <c r="F512">
        <v>15000</v>
      </c>
      <c r="G512">
        <v>7000</v>
      </c>
      <c r="H512">
        <v>6840</v>
      </c>
      <c r="I512" t="s">
        <v>37</v>
      </c>
    </row>
    <row r="513" spans="2:9" hidden="1" x14ac:dyDescent="0.35">
      <c r="B513" t="s">
        <v>79</v>
      </c>
      <c r="C513" t="s">
        <v>101</v>
      </c>
      <c r="D513" t="s">
        <v>199</v>
      </c>
      <c r="E513" t="s">
        <v>27</v>
      </c>
      <c r="F513">
        <v>11500</v>
      </c>
      <c r="G513">
        <v>3000</v>
      </c>
      <c r="H513">
        <v>2541.75</v>
      </c>
      <c r="I513" t="s">
        <v>37</v>
      </c>
    </row>
    <row r="514" spans="2:9" hidden="1" x14ac:dyDescent="0.35">
      <c r="B514" t="s">
        <v>79</v>
      </c>
      <c r="C514" t="s">
        <v>101</v>
      </c>
      <c r="D514" t="s">
        <v>199</v>
      </c>
      <c r="E514" t="s">
        <v>33</v>
      </c>
      <c r="F514">
        <v>32000</v>
      </c>
      <c r="G514">
        <v>2000</v>
      </c>
      <c r="H514">
        <v>1955</v>
      </c>
      <c r="I514" t="s">
        <v>37</v>
      </c>
    </row>
    <row r="515" spans="2:9" hidden="1" x14ac:dyDescent="0.35">
      <c r="B515" t="s">
        <v>79</v>
      </c>
      <c r="C515" t="s">
        <v>101</v>
      </c>
      <c r="D515" t="s">
        <v>199</v>
      </c>
      <c r="E515" t="s">
        <v>28</v>
      </c>
      <c r="F515">
        <v>18000</v>
      </c>
      <c r="G515">
        <v>3000</v>
      </c>
      <c r="H515">
        <v>2380</v>
      </c>
      <c r="I515" t="s">
        <v>37</v>
      </c>
    </row>
    <row r="516" spans="2:9" hidden="1" x14ac:dyDescent="0.35">
      <c r="B516" t="s">
        <v>84</v>
      </c>
      <c r="C516" t="s">
        <v>103</v>
      </c>
      <c r="D516" t="s">
        <v>198</v>
      </c>
      <c r="E516" t="s">
        <v>12</v>
      </c>
      <c r="F516">
        <v>12100000</v>
      </c>
      <c r="G516">
        <v>700000</v>
      </c>
      <c r="H516">
        <v>658484.86</v>
      </c>
      <c r="I516" t="s">
        <v>37</v>
      </c>
    </row>
    <row r="517" spans="2:9" hidden="1" x14ac:dyDescent="0.35">
      <c r="B517" t="s">
        <v>84</v>
      </c>
      <c r="C517" t="s">
        <v>105</v>
      </c>
      <c r="D517" t="s">
        <v>198</v>
      </c>
      <c r="E517" t="s">
        <v>12</v>
      </c>
      <c r="F517">
        <v>21461500</v>
      </c>
      <c r="G517">
        <v>2000000</v>
      </c>
      <c r="H517">
        <v>1678040</v>
      </c>
      <c r="I517" t="s">
        <v>37</v>
      </c>
    </row>
    <row r="518" spans="2:9" hidden="1" x14ac:dyDescent="0.35">
      <c r="B518" t="s">
        <v>82</v>
      </c>
      <c r="C518" t="s">
        <v>107</v>
      </c>
      <c r="D518" t="s">
        <v>198</v>
      </c>
      <c r="E518" t="s">
        <v>7</v>
      </c>
      <c r="F518">
        <v>1130000</v>
      </c>
      <c r="G518">
        <v>195000</v>
      </c>
      <c r="H518">
        <v>195000</v>
      </c>
      <c r="I518" t="s">
        <v>37</v>
      </c>
    </row>
    <row r="519" spans="2:9" hidden="1" x14ac:dyDescent="0.35">
      <c r="B519" t="s">
        <v>78</v>
      </c>
      <c r="C519" t="s">
        <v>109</v>
      </c>
      <c r="D519" t="s">
        <v>198</v>
      </c>
      <c r="E519" t="s">
        <v>15</v>
      </c>
      <c r="F519">
        <v>3965200</v>
      </c>
      <c r="G519">
        <v>125000</v>
      </c>
      <c r="H519">
        <v>122220</v>
      </c>
      <c r="I519" t="s">
        <v>37</v>
      </c>
    </row>
    <row r="520" spans="2:9" hidden="1" x14ac:dyDescent="0.35">
      <c r="B520" t="s">
        <v>82</v>
      </c>
      <c r="C520" t="s">
        <v>109</v>
      </c>
      <c r="D520" t="s">
        <v>198</v>
      </c>
      <c r="E520" t="s">
        <v>7</v>
      </c>
      <c r="F520">
        <v>2540000</v>
      </c>
      <c r="G520">
        <v>752000</v>
      </c>
      <c r="H520">
        <v>752000</v>
      </c>
      <c r="I520" t="s">
        <v>37</v>
      </c>
    </row>
    <row r="521" spans="2:9" hidden="1" x14ac:dyDescent="0.35">
      <c r="B521" t="s">
        <v>83</v>
      </c>
      <c r="C521" t="s">
        <v>113</v>
      </c>
      <c r="D521" t="s">
        <v>198</v>
      </c>
      <c r="E521" t="s">
        <v>11</v>
      </c>
      <c r="F521">
        <v>713000</v>
      </c>
      <c r="G521">
        <v>16000</v>
      </c>
      <c r="H521">
        <v>15120</v>
      </c>
      <c r="I521" t="s">
        <v>37</v>
      </c>
    </row>
    <row r="522" spans="2:9" hidden="1" x14ac:dyDescent="0.35">
      <c r="B522" t="s">
        <v>83</v>
      </c>
      <c r="C522" t="s">
        <v>115</v>
      </c>
      <c r="D522" t="s">
        <v>198</v>
      </c>
      <c r="E522" t="s">
        <v>11</v>
      </c>
      <c r="F522">
        <v>253800</v>
      </c>
      <c r="G522">
        <v>3000</v>
      </c>
      <c r="H522">
        <v>2538</v>
      </c>
      <c r="I522" t="s">
        <v>37</v>
      </c>
    </row>
    <row r="523" spans="2:9" hidden="1" x14ac:dyDescent="0.35">
      <c r="B523" t="s">
        <v>78</v>
      </c>
      <c r="C523" t="s">
        <v>115</v>
      </c>
      <c r="D523" t="s">
        <v>198</v>
      </c>
      <c r="E523" t="s">
        <v>15</v>
      </c>
      <c r="F523">
        <v>162500</v>
      </c>
      <c r="G523">
        <v>5000</v>
      </c>
      <c r="H523">
        <v>5000</v>
      </c>
      <c r="I523" t="s">
        <v>37</v>
      </c>
    </row>
    <row r="524" spans="2:9" hidden="1" x14ac:dyDescent="0.35">
      <c r="B524" t="s">
        <v>78</v>
      </c>
      <c r="C524" t="s">
        <v>117</v>
      </c>
      <c r="D524" t="s">
        <v>198</v>
      </c>
      <c r="E524" t="s">
        <v>15</v>
      </c>
      <c r="F524">
        <v>71000</v>
      </c>
      <c r="G524">
        <v>1000</v>
      </c>
      <c r="H524">
        <v>245</v>
      </c>
      <c r="I524" t="s">
        <v>37</v>
      </c>
    </row>
    <row r="525" spans="2:9" hidden="1" x14ac:dyDescent="0.35">
      <c r="B525" t="s">
        <v>85</v>
      </c>
      <c r="C525" t="s">
        <v>119</v>
      </c>
      <c r="D525" t="s">
        <v>198</v>
      </c>
      <c r="E525" t="s">
        <v>10</v>
      </c>
      <c r="F525">
        <v>4000000</v>
      </c>
      <c r="G525">
        <v>25000</v>
      </c>
      <c r="H525">
        <v>24763.66</v>
      </c>
      <c r="I525" t="s">
        <v>37</v>
      </c>
    </row>
    <row r="526" spans="2:9" hidden="1" x14ac:dyDescent="0.35">
      <c r="B526" t="s">
        <v>82</v>
      </c>
      <c r="C526" t="s">
        <v>121</v>
      </c>
      <c r="D526" t="s">
        <v>198</v>
      </c>
      <c r="E526" t="s">
        <v>7</v>
      </c>
      <c r="F526">
        <v>3600000</v>
      </c>
      <c r="G526">
        <v>1000000</v>
      </c>
      <c r="H526">
        <v>841000</v>
      </c>
      <c r="I526" t="s">
        <v>37</v>
      </c>
    </row>
    <row r="527" spans="2:9" hidden="1" x14ac:dyDescent="0.35">
      <c r="B527" t="s">
        <v>85</v>
      </c>
      <c r="C527" t="s">
        <v>123</v>
      </c>
      <c r="D527" t="s">
        <v>198</v>
      </c>
      <c r="E527" t="s">
        <v>10</v>
      </c>
      <c r="F527">
        <v>1300000</v>
      </c>
      <c r="G527">
        <v>500000</v>
      </c>
      <c r="H527">
        <v>491462.12</v>
      </c>
      <c r="I527" t="s">
        <v>37</v>
      </c>
    </row>
    <row r="528" spans="2:9" hidden="1" x14ac:dyDescent="0.35">
      <c r="B528" t="s">
        <v>85</v>
      </c>
      <c r="C528" t="s">
        <v>121</v>
      </c>
      <c r="D528" t="s">
        <v>198</v>
      </c>
      <c r="E528" t="s">
        <v>10</v>
      </c>
      <c r="F528">
        <v>3386900</v>
      </c>
      <c r="G528">
        <v>54000</v>
      </c>
      <c r="H528">
        <v>54000</v>
      </c>
      <c r="I528" t="s">
        <v>37</v>
      </c>
    </row>
    <row r="529" spans="2:9" hidden="1" x14ac:dyDescent="0.35">
      <c r="B529" t="s">
        <v>85</v>
      </c>
      <c r="C529" t="s">
        <v>124</v>
      </c>
      <c r="D529" t="s">
        <v>198</v>
      </c>
      <c r="E529" t="s">
        <v>10</v>
      </c>
      <c r="F529">
        <v>3709700</v>
      </c>
      <c r="G529">
        <v>455000</v>
      </c>
      <c r="H529">
        <v>453570.64</v>
      </c>
      <c r="I529" t="s">
        <v>37</v>
      </c>
    </row>
    <row r="530" spans="2:9" hidden="1" x14ac:dyDescent="0.35">
      <c r="B530" t="s">
        <v>82</v>
      </c>
      <c r="C530" t="s">
        <v>124</v>
      </c>
      <c r="D530" t="s">
        <v>199</v>
      </c>
      <c r="E530" t="s">
        <v>24</v>
      </c>
      <c r="F530">
        <v>15000</v>
      </c>
      <c r="G530">
        <v>1000</v>
      </c>
      <c r="H530">
        <v>425</v>
      </c>
      <c r="I530" t="s">
        <v>37</v>
      </c>
    </row>
    <row r="531" spans="2:9" hidden="1" x14ac:dyDescent="0.35">
      <c r="B531" t="s">
        <v>82</v>
      </c>
      <c r="C531" t="s">
        <v>124</v>
      </c>
      <c r="D531" t="s">
        <v>199</v>
      </c>
      <c r="E531" t="s">
        <v>19</v>
      </c>
      <c r="F531">
        <v>30000</v>
      </c>
      <c r="G531">
        <v>5000</v>
      </c>
      <c r="H531">
        <v>4350</v>
      </c>
      <c r="I531" t="s">
        <v>37</v>
      </c>
    </row>
    <row r="532" spans="2:9" hidden="1" x14ac:dyDescent="0.35">
      <c r="B532" t="s">
        <v>82</v>
      </c>
      <c r="C532" t="s">
        <v>124</v>
      </c>
      <c r="D532" t="s">
        <v>199</v>
      </c>
      <c r="E532" t="s">
        <v>25</v>
      </c>
      <c r="F532">
        <v>30000</v>
      </c>
      <c r="G532">
        <v>2000</v>
      </c>
      <c r="H532">
        <v>1970</v>
      </c>
      <c r="I532" t="s">
        <v>37</v>
      </c>
    </row>
    <row r="533" spans="2:9" hidden="1" x14ac:dyDescent="0.35">
      <c r="B533" t="s">
        <v>82</v>
      </c>
      <c r="C533" t="s">
        <v>124</v>
      </c>
      <c r="D533" t="s">
        <v>199</v>
      </c>
      <c r="E533" t="s">
        <v>26</v>
      </c>
      <c r="F533">
        <v>30000</v>
      </c>
      <c r="G533">
        <v>3000</v>
      </c>
      <c r="H533">
        <v>2200</v>
      </c>
      <c r="I533" t="s">
        <v>37</v>
      </c>
    </row>
    <row r="534" spans="2:9" hidden="1" x14ac:dyDescent="0.35">
      <c r="B534" t="s">
        <v>82</v>
      </c>
      <c r="C534" t="s">
        <v>124</v>
      </c>
      <c r="D534" t="s">
        <v>199</v>
      </c>
      <c r="E534" t="s">
        <v>30</v>
      </c>
      <c r="F534">
        <v>80000</v>
      </c>
      <c r="G534">
        <v>10000</v>
      </c>
      <c r="H534">
        <v>9936</v>
      </c>
      <c r="I534" t="s">
        <v>37</v>
      </c>
    </row>
    <row r="535" spans="2:9" hidden="1" x14ac:dyDescent="0.35">
      <c r="B535" t="s">
        <v>82</v>
      </c>
      <c r="C535" t="s">
        <v>124</v>
      </c>
      <c r="D535" t="s">
        <v>199</v>
      </c>
      <c r="E535" t="s">
        <v>35</v>
      </c>
      <c r="F535">
        <v>80000</v>
      </c>
      <c r="G535">
        <v>15000</v>
      </c>
      <c r="H535">
        <v>14344.3</v>
      </c>
      <c r="I535" t="s">
        <v>37</v>
      </c>
    </row>
    <row r="536" spans="2:9" hidden="1" x14ac:dyDescent="0.35">
      <c r="B536" t="s">
        <v>82</v>
      </c>
      <c r="C536" t="s">
        <v>124</v>
      </c>
      <c r="D536" t="s">
        <v>199</v>
      </c>
      <c r="E536" t="s">
        <v>22</v>
      </c>
      <c r="F536">
        <v>30000</v>
      </c>
      <c r="G536">
        <v>11000</v>
      </c>
      <c r="H536">
        <v>10200</v>
      </c>
      <c r="I536" t="s">
        <v>37</v>
      </c>
    </row>
    <row r="537" spans="2:9" hidden="1" x14ac:dyDescent="0.35">
      <c r="B537" t="s">
        <v>82</v>
      </c>
      <c r="C537" t="s">
        <v>124</v>
      </c>
      <c r="D537" t="s">
        <v>199</v>
      </c>
      <c r="E537" t="s">
        <v>21</v>
      </c>
      <c r="F537">
        <v>30000</v>
      </c>
      <c r="G537">
        <v>4000</v>
      </c>
      <c r="H537">
        <v>3150</v>
      </c>
      <c r="I537" t="s">
        <v>37</v>
      </c>
    </row>
    <row r="538" spans="2:9" hidden="1" x14ac:dyDescent="0.35">
      <c r="B538" t="s">
        <v>82</v>
      </c>
      <c r="C538" t="s">
        <v>124</v>
      </c>
      <c r="D538" t="s">
        <v>199</v>
      </c>
      <c r="E538" t="s">
        <v>18</v>
      </c>
      <c r="F538">
        <v>50000</v>
      </c>
      <c r="G538">
        <v>4000</v>
      </c>
      <c r="H538">
        <v>3080</v>
      </c>
      <c r="I538" t="s">
        <v>37</v>
      </c>
    </row>
    <row r="539" spans="2:9" hidden="1" x14ac:dyDescent="0.35">
      <c r="B539" t="s">
        <v>82</v>
      </c>
      <c r="C539" t="s">
        <v>124</v>
      </c>
      <c r="D539" t="s">
        <v>199</v>
      </c>
      <c r="E539" t="s">
        <v>23</v>
      </c>
      <c r="F539">
        <v>30000</v>
      </c>
      <c r="G539">
        <v>3000</v>
      </c>
      <c r="H539">
        <v>2600</v>
      </c>
      <c r="I539" t="s">
        <v>37</v>
      </c>
    </row>
    <row r="540" spans="2:9" hidden="1" x14ac:dyDescent="0.35">
      <c r="B540" t="s">
        <v>82</v>
      </c>
      <c r="C540" t="s">
        <v>124</v>
      </c>
      <c r="D540" t="s">
        <v>199</v>
      </c>
      <c r="E540" t="s">
        <v>32</v>
      </c>
      <c r="F540">
        <v>36000</v>
      </c>
      <c r="G540">
        <v>4000</v>
      </c>
      <c r="H540">
        <v>3750</v>
      </c>
      <c r="I540" t="s">
        <v>37</v>
      </c>
    </row>
    <row r="541" spans="2:9" hidden="1" x14ac:dyDescent="0.35">
      <c r="B541" t="s">
        <v>82</v>
      </c>
      <c r="C541" t="s">
        <v>124</v>
      </c>
      <c r="D541" t="s">
        <v>199</v>
      </c>
      <c r="E541" t="s">
        <v>20</v>
      </c>
      <c r="F541">
        <v>30000</v>
      </c>
      <c r="G541">
        <v>4000</v>
      </c>
      <c r="H541">
        <v>3445</v>
      </c>
      <c r="I541" t="s">
        <v>37</v>
      </c>
    </row>
    <row r="542" spans="2:9" hidden="1" x14ac:dyDescent="0.35">
      <c r="B542" t="s">
        <v>82</v>
      </c>
      <c r="C542" t="s">
        <v>124</v>
      </c>
      <c r="D542" t="s">
        <v>199</v>
      </c>
      <c r="E542" t="s">
        <v>31</v>
      </c>
      <c r="F542">
        <v>50000</v>
      </c>
      <c r="G542">
        <v>1000</v>
      </c>
      <c r="H542">
        <v>80</v>
      </c>
      <c r="I542" t="s">
        <v>37</v>
      </c>
    </row>
    <row r="543" spans="2:9" hidden="1" x14ac:dyDescent="0.35">
      <c r="B543" t="s">
        <v>82</v>
      </c>
      <c r="C543" t="s">
        <v>124</v>
      </c>
      <c r="D543" t="s">
        <v>199</v>
      </c>
      <c r="E543" t="s">
        <v>27</v>
      </c>
      <c r="F543">
        <v>50000</v>
      </c>
      <c r="G543">
        <v>7000</v>
      </c>
      <c r="H543">
        <v>6912</v>
      </c>
      <c r="I543" t="s">
        <v>37</v>
      </c>
    </row>
    <row r="544" spans="2:9" hidden="1" x14ac:dyDescent="0.35">
      <c r="B544" t="s">
        <v>77</v>
      </c>
      <c r="C544" t="s">
        <v>126</v>
      </c>
      <c r="D544" t="s">
        <v>198</v>
      </c>
      <c r="E544" t="s">
        <v>8</v>
      </c>
      <c r="F544">
        <v>5111400</v>
      </c>
      <c r="G544">
        <v>75000</v>
      </c>
      <c r="H544">
        <v>72059.100000000006</v>
      </c>
      <c r="I544" t="s">
        <v>37</v>
      </c>
    </row>
    <row r="545" spans="2:9" hidden="1" x14ac:dyDescent="0.35">
      <c r="B545" t="s">
        <v>77</v>
      </c>
      <c r="C545" t="s">
        <v>130</v>
      </c>
      <c r="D545" t="s">
        <v>198</v>
      </c>
      <c r="E545" t="s">
        <v>8</v>
      </c>
      <c r="F545">
        <v>300000</v>
      </c>
      <c r="G545">
        <v>25000</v>
      </c>
      <c r="H545">
        <v>22984</v>
      </c>
      <c r="I545" t="s">
        <v>37</v>
      </c>
    </row>
    <row r="546" spans="2:9" hidden="1" x14ac:dyDescent="0.35">
      <c r="B546" t="s">
        <v>82</v>
      </c>
      <c r="C546" t="s">
        <v>131</v>
      </c>
      <c r="D546" t="s">
        <v>198</v>
      </c>
      <c r="E546" t="s">
        <v>7</v>
      </c>
      <c r="F546">
        <v>17781100</v>
      </c>
      <c r="G546">
        <v>75000</v>
      </c>
      <c r="H546">
        <v>72204</v>
      </c>
      <c r="I546" t="s">
        <v>37</v>
      </c>
    </row>
    <row r="547" spans="2:9" hidden="1" x14ac:dyDescent="0.35">
      <c r="B547" t="s">
        <v>82</v>
      </c>
      <c r="C547" t="s">
        <v>133</v>
      </c>
      <c r="D547" t="s">
        <v>198</v>
      </c>
      <c r="E547" t="s">
        <v>7</v>
      </c>
      <c r="F547">
        <v>58719000</v>
      </c>
      <c r="G547">
        <v>16000000</v>
      </c>
      <c r="H547">
        <v>15948233.539999999</v>
      </c>
      <c r="I547" t="s">
        <v>37</v>
      </c>
    </row>
    <row r="548" spans="2:9" hidden="1" x14ac:dyDescent="0.35">
      <c r="B548" t="s">
        <v>82</v>
      </c>
      <c r="C548" t="s">
        <v>134</v>
      </c>
      <c r="D548" t="s">
        <v>199</v>
      </c>
      <c r="E548" t="s">
        <v>24</v>
      </c>
      <c r="F548">
        <v>590000</v>
      </c>
      <c r="G548">
        <v>155000</v>
      </c>
      <c r="H548">
        <v>154450.79999999999</v>
      </c>
      <c r="I548" t="s">
        <v>37</v>
      </c>
    </row>
    <row r="549" spans="2:9" hidden="1" x14ac:dyDescent="0.35">
      <c r="B549" t="s">
        <v>82</v>
      </c>
      <c r="C549" t="s">
        <v>134</v>
      </c>
      <c r="D549" t="s">
        <v>199</v>
      </c>
      <c r="E549" t="s">
        <v>19</v>
      </c>
      <c r="F549">
        <v>1060000</v>
      </c>
      <c r="G549">
        <v>132000</v>
      </c>
      <c r="H549">
        <v>131436</v>
      </c>
      <c r="I549" t="s">
        <v>37</v>
      </c>
    </row>
    <row r="550" spans="2:9" hidden="1" x14ac:dyDescent="0.35">
      <c r="B550" t="s">
        <v>82</v>
      </c>
      <c r="C550" t="s">
        <v>134</v>
      </c>
      <c r="D550" t="s">
        <v>199</v>
      </c>
      <c r="E550" t="s">
        <v>25</v>
      </c>
      <c r="F550">
        <v>1060000</v>
      </c>
      <c r="G550">
        <v>160000</v>
      </c>
      <c r="H550">
        <v>156870</v>
      </c>
      <c r="I550" t="s">
        <v>37</v>
      </c>
    </row>
    <row r="551" spans="2:9" hidden="1" x14ac:dyDescent="0.35">
      <c r="B551" t="s">
        <v>82</v>
      </c>
      <c r="C551" t="s">
        <v>134</v>
      </c>
      <c r="D551" t="s">
        <v>199</v>
      </c>
      <c r="E551" t="s">
        <v>26</v>
      </c>
      <c r="F551">
        <v>705000</v>
      </c>
      <c r="G551">
        <v>125000</v>
      </c>
      <c r="H551">
        <v>124686</v>
      </c>
      <c r="I551" t="s">
        <v>37</v>
      </c>
    </row>
    <row r="552" spans="2:9" hidden="1" x14ac:dyDescent="0.35">
      <c r="B552" t="s">
        <v>82</v>
      </c>
      <c r="C552" t="s">
        <v>134</v>
      </c>
      <c r="D552" t="s">
        <v>199</v>
      </c>
      <c r="E552" t="s">
        <v>30</v>
      </c>
      <c r="F552">
        <v>1410000</v>
      </c>
      <c r="G552">
        <v>100000</v>
      </c>
      <c r="H552">
        <v>95385.600000000006</v>
      </c>
      <c r="I552" t="s">
        <v>37</v>
      </c>
    </row>
    <row r="553" spans="2:9" hidden="1" x14ac:dyDescent="0.35">
      <c r="B553" t="s">
        <v>82</v>
      </c>
      <c r="C553" t="s">
        <v>134</v>
      </c>
      <c r="D553" t="s">
        <v>199</v>
      </c>
      <c r="E553" t="s">
        <v>35</v>
      </c>
      <c r="F553">
        <v>1180000</v>
      </c>
      <c r="G553">
        <v>146000</v>
      </c>
      <c r="H553">
        <v>145000.79999999999</v>
      </c>
      <c r="I553" t="s">
        <v>37</v>
      </c>
    </row>
    <row r="554" spans="2:9" hidden="1" x14ac:dyDescent="0.35">
      <c r="B554" t="s">
        <v>82</v>
      </c>
      <c r="C554" t="s">
        <v>134</v>
      </c>
      <c r="D554" t="s">
        <v>199</v>
      </c>
      <c r="E554" t="s">
        <v>22</v>
      </c>
      <c r="F554">
        <v>390000</v>
      </c>
      <c r="G554">
        <v>30000</v>
      </c>
      <c r="H554">
        <v>29597.4</v>
      </c>
      <c r="I554" t="s">
        <v>37</v>
      </c>
    </row>
    <row r="555" spans="2:9" hidden="1" x14ac:dyDescent="0.35">
      <c r="B555" t="s">
        <v>82</v>
      </c>
      <c r="C555" t="s">
        <v>134</v>
      </c>
      <c r="D555" t="s">
        <v>199</v>
      </c>
      <c r="E555" t="s">
        <v>21</v>
      </c>
      <c r="F555">
        <v>590000</v>
      </c>
      <c r="G555">
        <v>29000</v>
      </c>
      <c r="H555">
        <v>28803.599999999999</v>
      </c>
      <c r="I555" t="s">
        <v>37</v>
      </c>
    </row>
    <row r="556" spans="2:9" hidden="1" x14ac:dyDescent="0.35">
      <c r="B556" t="s">
        <v>82</v>
      </c>
      <c r="C556" t="s">
        <v>134</v>
      </c>
      <c r="D556" t="s">
        <v>199</v>
      </c>
      <c r="E556" t="s">
        <v>18</v>
      </c>
      <c r="F556">
        <v>1410000</v>
      </c>
      <c r="G556">
        <v>75000</v>
      </c>
      <c r="H556">
        <v>74082.600000000006</v>
      </c>
      <c r="I556" t="s">
        <v>37</v>
      </c>
    </row>
    <row r="557" spans="2:9" hidden="1" x14ac:dyDescent="0.35">
      <c r="B557" t="s">
        <v>82</v>
      </c>
      <c r="C557" t="s">
        <v>134</v>
      </c>
      <c r="D557" t="s">
        <v>199</v>
      </c>
      <c r="E557" t="s">
        <v>23</v>
      </c>
      <c r="F557">
        <v>470000</v>
      </c>
      <c r="G557">
        <v>42000</v>
      </c>
      <c r="H557">
        <v>41374.800000000003</v>
      </c>
      <c r="I557" t="s">
        <v>37</v>
      </c>
    </row>
    <row r="558" spans="2:9" hidden="1" x14ac:dyDescent="0.35">
      <c r="B558" t="s">
        <v>82</v>
      </c>
      <c r="C558" t="s">
        <v>134</v>
      </c>
      <c r="D558" t="s">
        <v>199</v>
      </c>
      <c r="E558" t="s">
        <v>32</v>
      </c>
      <c r="F558">
        <v>590000</v>
      </c>
      <c r="G558">
        <v>140000</v>
      </c>
      <c r="H558">
        <v>139158</v>
      </c>
      <c r="I558" t="s">
        <v>37</v>
      </c>
    </row>
    <row r="559" spans="2:9" hidden="1" x14ac:dyDescent="0.35">
      <c r="B559" t="s">
        <v>82</v>
      </c>
      <c r="C559" t="s">
        <v>134</v>
      </c>
      <c r="D559" t="s">
        <v>199</v>
      </c>
      <c r="E559" t="s">
        <v>20</v>
      </c>
      <c r="F559">
        <v>350000</v>
      </c>
      <c r="G559">
        <v>70000</v>
      </c>
      <c r="H559">
        <v>68148</v>
      </c>
      <c r="I559" t="s">
        <v>37</v>
      </c>
    </row>
    <row r="560" spans="2:9" hidden="1" x14ac:dyDescent="0.35">
      <c r="B560" t="s">
        <v>82</v>
      </c>
      <c r="C560" t="s">
        <v>134</v>
      </c>
      <c r="D560" t="s">
        <v>199</v>
      </c>
      <c r="E560" t="s">
        <v>31</v>
      </c>
      <c r="F560">
        <v>705000</v>
      </c>
      <c r="G560">
        <v>230000</v>
      </c>
      <c r="H560">
        <v>228331.44</v>
      </c>
      <c r="I560" t="s">
        <v>37</v>
      </c>
    </row>
    <row r="561" spans="2:9" hidden="1" x14ac:dyDescent="0.35">
      <c r="B561" t="s">
        <v>82</v>
      </c>
      <c r="C561" t="s">
        <v>134</v>
      </c>
      <c r="D561" t="s">
        <v>199</v>
      </c>
      <c r="E561" t="s">
        <v>43</v>
      </c>
      <c r="F561">
        <v>236000</v>
      </c>
      <c r="G561">
        <v>4000</v>
      </c>
      <c r="H561">
        <v>3499.2</v>
      </c>
      <c r="I561" t="s">
        <v>37</v>
      </c>
    </row>
    <row r="562" spans="2:9" hidden="1" x14ac:dyDescent="0.35">
      <c r="B562" t="s">
        <v>82</v>
      </c>
      <c r="C562" t="s">
        <v>134</v>
      </c>
      <c r="D562" t="s">
        <v>199</v>
      </c>
      <c r="E562" t="s">
        <v>17</v>
      </c>
      <c r="F562">
        <v>470000</v>
      </c>
      <c r="G562">
        <v>14000</v>
      </c>
      <c r="H562">
        <v>13413.6</v>
      </c>
      <c r="I562" t="s">
        <v>37</v>
      </c>
    </row>
    <row r="563" spans="2:9" hidden="1" x14ac:dyDescent="0.35">
      <c r="B563" t="s">
        <v>82</v>
      </c>
      <c r="C563" t="s">
        <v>134</v>
      </c>
      <c r="D563" t="s">
        <v>199</v>
      </c>
      <c r="E563" t="s">
        <v>29</v>
      </c>
      <c r="F563">
        <v>118000</v>
      </c>
      <c r="G563">
        <v>50000</v>
      </c>
      <c r="H563">
        <v>48755.519999999997</v>
      </c>
      <c r="I563" t="s">
        <v>37</v>
      </c>
    </row>
    <row r="564" spans="2:9" hidden="1" x14ac:dyDescent="0.35">
      <c r="B564" t="s">
        <v>82</v>
      </c>
      <c r="C564" t="s">
        <v>134</v>
      </c>
      <c r="D564" t="s">
        <v>199</v>
      </c>
      <c r="E564" t="s">
        <v>27</v>
      </c>
      <c r="F564">
        <v>470000</v>
      </c>
      <c r="G564">
        <v>120000</v>
      </c>
      <c r="H564">
        <v>119696.39999999997</v>
      </c>
      <c r="I564" t="s">
        <v>37</v>
      </c>
    </row>
    <row r="565" spans="2:9" hidden="1" x14ac:dyDescent="0.35">
      <c r="B565" t="s">
        <v>82</v>
      </c>
      <c r="C565" t="s">
        <v>134</v>
      </c>
      <c r="D565" t="s">
        <v>199</v>
      </c>
      <c r="E565" t="s">
        <v>33</v>
      </c>
      <c r="F565">
        <v>78000</v>
      </c>
      <c r="G565">
        <v>2500</v>
      </c>
      <c r="H565">
        <v>2332.8000000000002</v>
      </c>
      <c r="I565" t="s">
        <v>37</v>
      </c>
    </row>
    <row r="566" spans="2:9" hidden="1" x14ac:dyDescent="0.35">
      <c r="B566" t="s">
        <v>82</v>
      </c>
      <c r="C566" t="s">
        <v>136</v>
      </c>
      <c r="D566" t="s">
        <v>198</v>
      </c>
      <c r="E566" t="s">
        <v>7</v>
      </c>
      <c r="F566">
        <v>648300</v>
      </c>
      <c r="G566">
        <v>60000</v>
      </c>
      <c r="H566">
        <v>56300.45</v>
      </c>
      <c r="I566" t="s">
        <v>37</v>
      </c>
    </row>
    <row r="567" spans="2:9" hidden="1" x14ac:dyDescent="0.35">
      <c r="B567" t="s">
        <v>82</v>
      </c>
      <c r="C567" t="s">
        <v>136</v>
      </c>
      <c r="D567" t="s">
        <v>198</v>
      </c>
      <c r="E567" t="s">
        <v>7</v>
      </c>
      <c r="F567">
        <v>3000</v>
      </c>
      <c r="G567">
        <v>3000</v>
      </c>
      <c r="H567">
        <v>2980</v>
      </c>
      <c r="I567" t="s">
        <v>37</v>
      </c>
    </row>
    <row r="568" spans="2:9" hidden="1" x14ac:dyDescent="0.35">
      <c r="B568" t="s">
        <v>82</v>
      </c>
      <c r="C568" t="s">
        <v>136</v>
      </c>
      <c r="D568" t="s">
        <v>199</v>
      </c>
      <c r="E568" t="s">
        <v>19</v>
      </c>
      <c r="F568">
        <v>23500</v>
      </c>
      <c r="G568">
        <v>12000</v>
      </c>
      <c r="H568">
        <v>11736.380000000001</v>
      </c>
      <c r="I568" t="s">
        <v>37</v>
      </c>
    </row>
    <row r="569" spans="2:9" hidden="1" x14ac:dyDescent="0.35">
      <c r="B569" t="s">
        <v>82</v>
      </c>
      <c r="C569" t="s">
        <v>136</v>
      </c>
      <c r="D569" t="s">
        <v>199</v>
      </c>
      <c r="E569" t="s">
        <v>25</v>
      </c>
      <c r="F569">
        <v>61800</v>
      </c>
      <c r="G569">
        <v>25000</v>
      </c>
      <c r="H569">
        <v>23809.759999999998</v>
      </c>
      <c r="I569" t="s">
        <v>37</v>
      </c>
    </row>
    <row r="570" spans="2:9" hidden="1" x14ac:dyDescent="0.35">
      <c r="B570" t="s">
        <v>82</v>
      </c>
      <c r="C570" t="s">
        <v>136</v>
      </c>
      <c r="D570" t="s">
        <v>199</v>
      </c>
      <c r="E570" t="s">
        <v>26</v>
      </c>
      <c r="F570">
        <v>39600</v>
      </c>
      <c r="G570">
        <v>4000</v>
      </c>
      <c r="H570">
        <v>3764.92</v>
      </c>
      <c r="I570" t="s">
        <v>37</v>
      </c>
    </row>
    <row r="571" spans="2:9" hidden="1" x14ac:dyDescent="0.35">
      <c r="B571" t="s">
        <v>82</v>
      </c>
      <c r="C571" t="s">
        <v>136</v>
      </c>
      <c r="D571" t="s">
        <v>199</v>
      </c>
      <c r="E571" t="s">
        <v>30</v>
      </c>
      <c r="F571">
        <v>117500</v>
      </c>
      <c r="G571">
        <v>16000</v>
      </c>
      <c r="H571">
        <v>15080.59</v>
      </c>
      <c r="I571" t="s">
        <v>37</v>
      </c>
    </row>
    <row r="572" spans="2:9" hidden="1" x14ac:dyDescent="0.35">
      <c r="B572" t="s">
        <v>82</v>
      </c>
      <c r="C572" t="s">
        <v>136</v>
      </c>
      <c r="D572" t="s">
        <v>199</v>
      </c>
      <c r="E572" t="s">
        <v>35</v>
      </c>
      <c r="F572">
        <v>114300</v>
      </c>
      <c r="G572">
        <v>30000</v>
      </c>
      <c r="H572">
        <v>28017.54</v>
      </c>
      <c r="I572" t="s">
        <v>37</v>
      </c>
    </row>
    <row r="573" spans="2:9" hidden="1" x14ac:dyDescent="0.35">
      <c r="B573" t="s">
        <v>82</v>
      </c>
      <c r="C573" t="s">
        <v>136</v>
      </c>
      <c r="D573" t="s">
        <v>199</v>
      </c>
      <c r="E573" t="s">
        <v>22</v>
      </c>
      <c r="F573">
        <v>33100</v>
      </c>
      <c r="G573">
        <v>4000</v>
      </c>
      <c r="H573">
        <v>3954.5</v>
      </c>
      <c r="I573" t="s">
        <v>37</v>
      </c>
    </row>
    <row r="574" spans="2:9" hidden="1" x14ac:dyDescent="0.35">
      <c r="B574" t="s">
        <v>82</v>
      </c>
      <c r="C574" t="s">
        <v>136</v>
      </c>
      <c r="D574" t="s">
        <v>199</v>
      </c>
      <c r="E574" t="s">
        <v>21</v>
      </c>
      <c r="F574">
        <v>33100</v>
      </c>
      <c r="G574">
        <v>9000</v>
      </c>
      <c r="H574">
        <v>8944.09</v>
      </c>
      <c r="I574" t="s">
        <v>37</v>
      </c>
    </row>
    <row r="575" spans="2:9" hidden="1" x14ac:dyDescent="0.35">
      <c r="B575" t="s">
        <v>82</v>
      </c>
      <c r="C575" t="s">
        <v>136</v>
      </c>
      <c r="D575" t="s">
        <v>199</v>
      </c>
      <c r="E575" t="s">
        <v>18</v>
      </c>
      <c r="F575">
        <v>92000</v>
      </c>
      <c r="G575">
        <v>30000</v>
      </c>
      <c r="H575">
        <v>27004.32</v>
      </c>
      <c r="I575" t="s">
        <v>37</v>
      </c>
    </row>
    <row r="576" spans="2:9" hidden="1" x14ac:dyDescent="0.35">
      <c r="B576" t="s">
        <v>82</v>
      </c>
      <c r="C576" t="s">
        <v>136</v>
      </c>
      <c r="D576" t="s">
        <v>199</v>
      </c>
      <c r="E576" t="s">
        <v>23</v>
      </c>
      <c r="F576">
        <v>68100</v>
      </c>
      <c r="G576">
        <v>35000</v>
      </c>
      <c r="H576">
        <v>34437.300000000003</v>
      </c>
      <c r="I576" t="s">
        <v>37</v>
      </c>
    </row>
    <row r="577" spans="2:9" hidden="1" x14ac:dyDescent="0.35">
      <c r="B577" t="s">
        <v>82</v>
      </c>
      <c r="C577" t="s">
        <v>136</v>
      </c>
      <c r="D577" t="s">
        <v>199</v>
      </c>
      <c r="E577" t="s">
        <v>32</v>
      </c>
      <c r="F577">
        <v>23500</v>
      </c>
      <c r="G577">
        <v>15000</v>
      </c>
      <c r="H577">
        <v>14215.18</v>
      </c>
      <c r="I577" t="s">
        <v>37</v>
      </c>
    </row>
    <row r="578" spans="2:9" hidden="1" x14ac:dyDescent="0.35">
      <c r="B578" t="s">
        <v>82</v>
      </c>
      <c r="C578" t="s">
        <v>136</v>
      </c>
      <c r="D578" t="s">
        <v>199</v>
      </c>
      <c r="E578" t="s">
        <v>20</v>
      </c>
      <c r="F578">
        <v>20300</v>
      </c>
      <c r="G578">
        <v>8000</v>
      </c>
      <c r="H578">
        <v>7191.47</v>
      </c>
      <c r="I578" t="s">
        <v>37</v>
      </c>
    </row>
    <row r="579" spans="2:9" hidden="1" x14ac:dyDescent="0.35">
      <c r="B579" t="s">
        <v>82</v>
      </c>
      <c r="C579" t="s">
        <v>136</v>
      </c>
      <c r="D579" t="s">
        <v>199</v>
      </c>
      <c r="E579" t="s">
        <v>31</v>
      </c>
      <c r="F579">
        <v>41800</v>
      </c>
      <c r="G579">
        <v>14000</v>
      </c>
      <c r="H579">
        <v>13565.4</v>
      </c>
      <c r="I579" t="s">
        <v>37</v>
      </c>
    </row>
    <row r="580" spans="2:9" hidden="1" x14ac:dyDescent="0.35">
      <c r="B580" t="s">
        <v>82</v>
      </c>
      <c r="C580" t="s">
        <v>136</v>
      </c>
      <c r="D580" t="s">
        <v>199</v>
      </c>
      <c r="E580" t="s">
        <v>17</v>
      </c>
      <c r="F580">
        <v>14900</v>
      </c>
      <c r="G580">
        <v>6000</v>
      </c>
      <c r="H580">
        <v>5563.9</v>
      </c>
      <c r="I580" t="s">
        <v>37</v>
      </c>
    </row>
    <row r="581" spans="2:9" hidden="1" x14ac:dyDescent="0.35">
      <c r="B581" t="s">
        <v>82</v>
      </c>
      <c r="C581" t="s">
        <v>136</v>
      </c>
      <c r="D581" t="s">
        <v>199</v>
      </c>
      <c r="E581" t="s">
        <v>29</v>
      </c>
      <c r="F581">
        <v>14900</v>
      </c>
      <c r="G581">
        <v>5000</v>
      </c>
      <c r="H581">
        <v>4454.74</v>
      </c>
      <c r="I581" t="s">
        <v>37</v>
      </c>
    </row>
    <row r="582" spans="2:9" hidden="1" x14ac:dyDescent="0.35">
      <c r="B582" t="s">
        <v>82</v>
      </c>
      <c r="C582" t="s">
        <v>136</v>
      </c>
      <c r="D582" t="s">
        <v>199</v>
      </c>
      <c r="E582" t="s">
        <v>27</v>
      </c>
      <c r="F582">
        <v>43800</v>
      </c>
      <c r="G582">
        <v>2000</v>
      </c>
      <c r="H582">
        <v>1550</v>
      </c>
      <c r="I582" t="s">
        <v>37</v>
      </c>
    </row>
    <row r="583" spans="2:9" hidden="1" x14ac:dyDescent="0.35">
      <c r="B583" t="s">
        <v>82</v>
      </c>
      <c r="C583" t="s">
        <v>136</v>
      </c>
      <c r="D583" t="s">
        <v>199</v>
      </c>
      <c r="E583" t="s">
        <v>33</v>
      </c>
      <c r="F583">
        <v>14900</v>
      </c>
      <c r="G583">
        <v>6000</v>
      </c>
      <c r="H583">
        <v>5960.54</v>
      </c>
      <c r="I583" t="s">
        <v>37</v>
      </c>
    </row>
    <row r="584" spans="2:9" hidden="1" x14ac:dyDescent="0.35">
      <c r="B584" t="s">
        <v>82</v>
      </c>
      <c r="C584" t="s">
        <v>136</v>
      </c>
      <c r="D584" t="s">
        <v>199</v>
      </c>
      <c r="E584" t="s">
        <v>28</v>
      </c>
      <c r="F584">
        <v>11600</v>
      </c>
      <c r="G584">
        <v>1000</v>
      </c>
      <c r="H584">
        <v>479.70000000000005</v>
      </c>
      <c r="I584" t="s">
        <v>37</v>
      </c>
    </row>
    <row r="585" spans="2:9" hidden="1" x14ac:dyDescent="0.35">
      <c r="B585" t="s">
        <v>82</v>
      </c>
      <c r="C585" t="s">
        <v>138</v>
      </c>
      <c r="D585" t="s">
        <v>199</v>
      </c>
      <c r="E585" t="s">
        <v>20</v>
      </c>
      <c r="F585">
        <v>4000</v>
      </c>
      <c r="G585">
        <v>1000</v>
      </c>
      <c r="H585">
        <v>455</v>
      </c>
      <c r="I585" t="s">
        <v>37</v>
      </c>
    </row>
    <row r="586" spans="2:9" hidden="1" x14ac:dyDescent="0.35">
      <c r="B586" t="s">
        <v>82</v>
      </c>
      <c r="C586" t="s">
        <v>140</v>
      </c>
      <c r="D586" t="s">
        <v>198</v>
      </c>
      <c r="E586" t="s">
        <v>7</v>
      </c>
      <c r="F586">
        <v>2200000</v>
      </c>
      <c r="G586">
        <v>55000</v>
      </c>
      <c r="H586">
        <v>53100.73</v>
      </c>
      <c r="I586" t="s">
        <v>37</v>
      </c>
    </row>
    <row r="587" spans="2:9" hidden="1" x14ac:dyDescent="0.35">
      <c r="B587" t="s">
        <v>82</v>
      </c>
      <c r="C587" t="s">
        <v>142</v>
      </c>
      <c r="D587" t="s">
        <v>198</v>
      </c>
      <c r="E587" t="s">
        <v>7</v>
      </c>
      <c r="F587">
        <v>356000</v>
      </c>
      <c r="G587">
        <v>1000</v>
      </c>
      <c r="H587">
        <v>414.6</v>
      </c>
      <c r="I587" t="s">
        <v>37</v>
      </c>
    </row>
    <row r="588" spans="2:9" hidden="1" x14ac:dyDescent="0.35">
      <c r="B588" t="s">
        <v>75</v>
      </c>
      <c r="C588" t="s">
        <v>144</v>
      </c>
      <c r="D588" t="s">
        <v>198</v>
      </c>
      <c r="E588" t="s">
        <v>41</v>
      </c>
      <c r="F588">
        <v>200000</v>
      </c>
      <c r="G588">
        <v>27000</v>
      </c>
      <c r="H588">
        <v>25630</v>
      </c>
      <c r="I588" t="s">
        <v>37</v>
      </c>
    </row>
    <row r="589" spans="2:9" hidden="1" x14ac:dyDescent="0.35">
      <c r="B589" t="s">
        <v>80</v>
      </c>
      <c r="C589" t="s">
        <v>148</v>
      </c>
      <c r="D589" t="s">
        <v>198</v>
      </c>
      <c r="E589" t="s">
        <v>14</v>
      </c>
      <c r="F589">
        <v>1897600</v>
      </c>
      <c r="G589">
        <v>250000</v>
      </c>
      <c r="H589">
        <v>232050.32</v>
      </c>
      <c r="I589" t="s">
        <v>37</v>
      </c>
    </row>
    <row r="590" spans="2:9" hidden="1" x14ac:dyDescent="0.35">
      <c r="B590" t="s">
        <v>80</v>
      </c>
      <c r="C590" t="s">
        <v>150</v>
      </c>
      <c r="D590" t="s">
        <v>198</v>
      </c>
      <c r="E590" t="s">
        <v>14</v>
      </c>
      <c r="F590">
        <v>560000</v>
      </c>
      <c r="G590">
        <v>1000</v>
      </c>
      <c r="H590">
        <v>584</v>
      </c>
      <c r="I590" t="s">
        <v>37</v>
      </c>
    </row>
    <row r="591" spans="2:9" hidden="1" x14ac:dyDescent="0.35">
      <c r="B591" t="s">
        <v>80</v>
      </c>
      <c r="C591" t="s">
        <v>152</v>
      </c>
      <c r="D591" t="s">
        <v>198</v>
      </c>
      <c r="E591" t="s">
        <v>14</v>
      </c>
      <c r="F591">
        <v>3615400</v>
      </c>
      <c r="G591">
        <v>1000</v>
      </c>
      <c r="H591">
        <v>184.2</v>
      </c>
      <c r="I591" t="s">
        <v>37</v>
      </c>
    </row>
    <row r="592" spans="2:9" hidden="1" x14ac:dyDescent="0.35">
      <c r="B592" t="s">
        <v>81</v>
      </c>
      <c r="C592" t="s">
        <v>154</v>
      </c>
      <c r="D592" t="s">
        <v>198</v>
      </c>
      <c r="E592" t="s">
        <v>6</v>
      </c>
      <c r="F592">
        <v>2398600</v>
      </c>
      <c r="G592">
        <v>64000</v>
      </c>
      <c r="H592">
        <v>63574.399999999994</v>
      </c>
      <c r="I592" t="s">
        <v>37</v>
      </c>
    </row>
    <row r="593" spans="2:9" hidden="1" x14ac:dyDescent="0.35">
      <c r="B593" t="s">
        <v>81</v>
      </c>
      <c r="C593" t="s">
        <v>156</v>
      </c>
      <c r="D593" t="s">
        <v>198</v>
      </c>
      <c r="E593" t="s">
        <v>6</v>
      </c>
      <c r="F593">
        <v>305000</v>
      </c>
      <c r="G593">
        <v>20000</v>
      </c>
      <c r="H593">
        <v>16980</v>
      </c>
      <c r="I593" t="s">
        <v>37</v>
      </c>
    </row>
    <row r="594" spans="2:9" hidden="1" x14ac:dyDescent="0.35">
      <c r="B594" t="s">
        <v>81</v>
      </c>
      <c r="C594" t="s">
        <v>158</v>
      </c>
      <c r="D594" t="s">
        <v>198</v>
      </c>
      <c r="E594" t="s">
        <v>6</v>
      </c>
      <c r="F594">
        <v>2287900</v>
      </c>
      <c r="G594">
        <v>250000</v>
      </c>
      <c r="H594">
        <v>242713.5</v>
      </c>
      <c r="I594" t="s">
        <v>37</v>
      </c>
    </row>
    <row r="595" spans="2:9" hidden="1" x14ac:dyDescent="0.35">
      <c r="B595" t="s">
        <v>81</v>
      </c>
      <c r="C595" t="s">
        <v>158</v>
      </c>
      <c r="D595" t="s">
        <v>199</v>
      </c>
      <c r="E595" t="s">
        <v>31</v>
      </c>
      <c r="F595">
        <v>2100</v>
      </c>
      <c r="G595">
        <v>2100</v>
      </c>
      <c r="H595">
        <v>2080</v>
      </c>
      <c r="I595" t="s">
        <v>37</v>
      </c>
    </row>
    <row r="596" spans="2:9" hidden="1" x14ac:dyDescent="0.35">
      <c r="B596" t="s">
        <v>81</v>
      </c>
      <c r="C596" t="s">
        <v>160</v>
      </c>
      <c r="D596" t="s">
        <v>198</v>
      </c>
      <c r="E596" t="s">
        <v>6</v>
      </c>
      <c r="F596">
        <v>5177200</v>
      </c>
      <c r="G596">
        <v>120000</v>
      </c>
      <c r="H596">
        <v>116731</v>
      </c>
      <c r="I596" t="s">
        <v>37</v>
      </c>
    </row>
    <row r="597" spans="2:9" hidden="1" x14ac:dyDescent="0.35">
      <c r="B597" t="s">
        <v>81</v>
      </c>
      <c r="C597" t="s">
        <v>160</v>
      </c>
      <c r="D597" t="s">
        <v>199</v>
      </c>
      <c r="E597" t="s">
        <v>26</v>
      </c>
      <c r="F597">
        <v>2300</v>
      </c>
      <c r="G597">
        <v>2000</v>
      </c>
      <c r="H597">
        <v>1500</v>
      </c>
      <c r="I597" t="s">
        <v>37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7A21D-D2C3-4FFE-9F92-F7DD2142BE32}">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dimension ref="A1"/>
  <sheetViews>
    <sheetView workbookViewId="0"/>
  </sheetViews>
  <sheetFormatPr defaultRowHeight="14.5" x14ac:dyDescent="0.35"/>
  <cols>
    <col min="1" max="16384" width="8.7265625" style="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dimension ref="B4:E24"/>
  <sheetViews>
    <sheetView zoomScaleNormal="100" workbookViewId="0"/>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7" customFormat="1" ht="23.5" x14ac:dyDescent="0.55000000000000004">
      <c r="B4" s="18" t="s">
        <v>86</v>
      </c>
      <c r="C4" s="19" t="s">
        <v>87</v>
      </c>
      <c r="D4" s="18" t="s">
        <v>164</v>
      </c>
      <c r="E4" s="19" t="s">
        <v>165</v>
      </c>
    </row>
    <row r="5" spans="2:5" ht="18.5" x14ac:dyDescent="0.45">
      <c r="B5" s="20" t="s">
        <v>88</v>
      </c>
      <c r="C5" s="21" t="s">
        <v>89</v>
      </c>
      <c r="D5" s="20" t="s">
        <v>126</v>
      </c>
      <c r="E5" s="21" t="s">
        <v>127</v>
      </c>
    </row>
    <row r="6" spans="2:5" ht="18.5" x14ac:dyDescent="0.45">
      <c r="B6" s="20" t="s">
        <v>90</v>
      </c>
      <c r="C6" s="21" t="s">
        <v>91</v>
      </c>
      <c r="D6" s="20" t="s">
        <v>128</v>
      </c>
      <c r="E6" s="21" t="s">
        <v>129</v>
      </c>
    </row>
    <row r="7" spans="2:5" ht="18.5" x14ac:dyDescent="0.45">
      <c r="B7" s="20" t="s">
        <v>92</v>
      </c>
      <c r="C7" s="21" t="s">
        <v>93</v>
      </c>
      <c r="D7" s="20" t="s">
        <v>130</v>
      </c>
      <c r="E7" s="21" t="s">
        <v>129</v>
      </c>
    </row>
    <row r="8" spans="2:5" ht="18.5" x14ac:dyDescent="0.45">
      <c r="B8" s="20" t="s">
        <v>94</v>
      </c>
      <c r="C8" s="21" t="s">
        <v>95</v>
      </c>
      <c r="D8" s="20" t="s">
        <v>131</v>
      </c>
      <c r="E8" s="21" t="s">
        <v>132</v>
      </c>
    </row>
    <row r="9" spans="2:5" ht="18.5" x14ac:dyDescent="0.45">
      <c r="B9" s="20" t="s">
        <v>96</v>
      </c>
      <c r="C9" s="21" t="s">
        <v>95</v>
      </c>
      <c r="D9" s="20" t="s">
        <v>133</v>
      </c>
      <c r="E9" s="21" t="s">
        <v>132</v>
      </c>
    </row>
    <row r="10" spans="2:5" ht="18.5" x14ac:dyDescent="0.45">
      <c r="B10" s="20" t="s">
        <v>97</v>
      </c>
      <c r="C10" s="21" t="s">
        <v>98</v>
      </c>
      <c r="D10" s="20" t="s">
        <v>134</v>
      </c>
      <c r="E10" s="21" t="s">
        <v>135</v>
      </c>
    </row>
    <row r="11" spans="2:5" ht="18.5" x14ac:dyDescent="0.45">
      <c r="B11" s="20" t="s">
        <v>99</v>
      </c>
      <c r="C11" s="21" t="s">
        <v>100</v>
      </c>
      <c r="D11" s="20" t="s">
        <v>136</v>
      </c>
      <c r="E11" s="21" t="s">
        <v>137</v>
      </c>
    </row>
    <row r="12" spans="2:5" ht="18.5" x14ac:dyDescent="0.45">
      <c r="B12" s="20" t="s">
        <v>101</v>
      </c>
      <c r="C12" s="21" t="s">
        <v>102</v>
      </c>
      <c r="D12" s="20" t="s">
        <v>138</v>
      </c>
      <c r="E12" s="21" t="s">
        <v>139</v>
      </c>
    </row>
    <row r="13" spans="2:5" ht="18.5" x14ac:dyDescent="0.45">
      <c r="B13" s="20" t="s">
        <v>103</v>
      </c>
      <c r="C13" s="21" t="s">
        <v>104</v>
      </c>
      <c r="D13" s="20" t="s">
        <v>140</v>
      </c>
      <c r="E13" s="21" t="s">
        <v>141</v>
      </c>
    </row>
    <row r="14" spans="2:5" ht="18.5" x14ac:dyDescent="0.45">
      <c r="B14" s="20" t="s">
        <v>105</v>
      </c>
      <c r="C14" s="21" t="s">
        <v>106</v>
      </c>
      <c r="D14" s="20" t="s">
        <v>142</v>
      </c>
      <c r="E14" s="21" t="s">
        <v>143</v>
      </c>
    </row>
    <row r="15" spans="2:5" ht="18.5" x14ac:dyDescent="0.45">
      <c r="B15" s="20" t="s">
        <v>107</v>
      </c>
      <c r="C15" s="21" t="s">
        <v>108</v>
      </c>
      <c r="D15" s="20" t="s">
        <v>144</v>
      </c>
      <c r="E15" s="21" t="s">
        <v>145</v>
      </c>
    </row>
    <row r="16" spans="2:5" ht="18.5" x14ac:dyDescent="0.45">
      <c r="B16" s="20" t="s">
        <v>109</v>
      </c>
      <c r="C16" s="21" t="s">
        <v>110</v>
      </c>
      <c r="D16" s="20" t="s">
        <v>146</v>
      </c>
      <c r="E16" s="21" t="s">
        <v>147</v>
      </c>
    </row>
    <row r="17" spans="2:5" ht="18.5" x14ac:dyDescent="0.45">
      <c r="B17" s="20" t="s">
        <v>111</v>
      </c>
      <c r="C17" s="21" t="s">
        <v>112</v>
      </c>
      <c r="D17" s="20" t="s">
        <v>148</v>
      </c>
      <c r="E17" s="21" t="s">
        <v>149</v>
      </c>
    </row>
    <row r="18" spans="2:5" ht="18.5" x14ac:dyDescent="0.45">
      <c r="B18" s="20" t="s">
        <v>113</v>
      </c>
      <c r="C18" s="21" t="s">
        <v>114</v>
      </c>
      <c r="D18" s="20" t="s">
        <v>150</v>
      </c>
      <c r="E18" s="21" t="s">
        <v>151</v>
      </c>
    </row>
    <row r="19" spans="2:5" ht="18.5" x14ac:dyDescent="0.45">
      <c r="B19" s="20" t="s">
        <v>115</v>
      </c>
      <c r="C19" s="21" t="s">
        <v>116</v>
      </c>
      <c r="D19" s="20" t="s">
        <v>152</v>
      </c>
      <c r="E19" s="21" t="s">
        <v>153</v>
      </c>
    </row>
    <row r="20" spans="2:5" ht="18.5" x14ac:dyDescent="0.45">
      <c r="B20" s="20" t="s">
        <v>117</v>
      </c>
      <c r="C20" s="21" t="s">
        <v>118</v>
      </c>
      <c r="D20" s="20" t="s">
        <v>154</v>
      </c>
      <c r="E20" s="21" t="s">
        <v>155</v>
      </c>
    </row>
    <row r="21" spans="2:5" ht="18.5" x14ac:dyDescent="0.45">
      <c r="B21" s="20" t="s">
        <v>119</v>
      </c>
      <c r="C21" s="21" t="s">
        <v>120</v>
      </c>
      <c r="D21" s="20" t="s">
        <v>156</v>
      </c>
      <c r="E21" s="21" t="s">
        <v>157</v>
      </c>
    </row>
    <row r="22" spans="2:5" ht="18.5" x14ac:dyDescent="0.45">
      <c r="B22" s="20" t="s">
        <v>121</v>
      </c>
      <c r="C22" s="21" t="s">
        <v>122</v>
      </c>
      <c r="D22" s="20" t="s">
        <v>158</v>
      </c>
      <c r="E22" s="21" t="s">
        <v>159</v>
      </c>
    </row>
    <row r="23" spans="2:5" ht="18.5" x14ac:dyDescent="0.45">
      <c r="B23" s="20" t="s">
        <v>123</v>
      </c>
      <c r="C23" s="21" t="s">
        <v>122</v>
      </c>
      <c r="D23" s="20" t="s">
        <v>160</v>
      </c>
      <c r="E23" s="21" t="s">
        <v>161</v>
      </c>
    </row>
    <row r="24" spans="2:5" ht="18.5" x14ac:dyDescent="0.45">
      <c r="B24" s="20" t="s">
        <v>124</v>
      </c>
      <c r="C24" s="21" t="s">
        <v>125</v>
      </c>
      <c r="D24" s="20" t="s">
        <v>162</v>
      </c>
      <c r="E24" s="21" t="s">
        <v>163</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0"/>
  <sheetViews>
    <sheetView topLeftCell="A45" zoomScale="90" zoomScaleNormal="90" workbookViewId="0">
      <selection activeCell="F46" sqref="F46"/>
    </sheetView>
  </sheetViews>
  <sheetFormatPr defaultRowHeight="14.5" x14ac:dyDescent="0.35"/>
  <cols>
    <col min="1" max="1" width="15.36328125" bestFit="1" customWidth="1"/>
    <col min="2" max="2" width="16.54296875" bestFit="1" customWidth="1"/>
    <col min="3" max="3" width="20.7265625" bestFit="1" customWidth="1"/>
    <col min="4" max="4" width="20.453125" bestFit="1" customWidth="1"/>
    <col min="5" max="6" width="12.81640625" bestFit="1" customWidth="1"/>
    <col min="7" max="7" width="10.453125" bestFit="1" customWidth="1"/>
    <col min="8" max="8" width="25.26953125" bestFit="1" customWidth="1"/>
    <col min="9" max="9" width="10.90625" bestFit="1" customWidth="1"/>
    <col min="10" max="10" width="12.81640625" bestFit="1" customWidth="1"/>
    <col min="11" max="11" width="10.90625" bestFit="1" customWidth="1"/>
    <col min="12" max="12" width="12.81640625" bestFit="1" customWidth="1"/>
    <col min="13" max="13" width="21" style="10" bestFit="1" customWidth="1"/>
    <col min="14" max="14" width="9.453125" bestFit="1" customWidth="1"/>
  </cols>
  <sheetData>
    <row r="3" spans="1:13" x14ac:dyDescent="0.35">
      <c r="A3" s="22" t="s">
        <v>0</v>
      </c>
      <c r="B3" t="s">
        <v>2</v>
      </c>
      <c r="C3" t="s">
        <v>3</v>
      </c>
      <c r="D3" t="s">
        <v>4</v>
      </c>
      <c r="F3" s="22" t="s">
        <v>0</v>
      </c>
      <c r="G3" t="s">
        <v>46</v>
      </c>
      <c r="H3" t="s">
        <v>47</v>
      </c>
      <c r="I3" t="s">
        <v>48</v>
      </c>
      <c r="J3" s="22" t="s">
        <v>0</v>
      </c>
      <c r="K3" t="s">
        <v>48</v>
      </c>
      <c r="L3" t="s">
        <v>0</v>
      </c>
      <c r="M3" s="10" t="s">
        <v>48</v>
      </c>
    </row>
    <row r="4" spans="1:13" x14ac:dyDescent="0.35">
      <c r="A4" s="23" t="s">
        <v>39</v>
      </c>
      <c r="B4">
        <v>363200000</v>
      </c>
      <c r="C4">
        <v>89152900</v>
      </c>
      <c r="D4">
        <v>109468232</v>
      </c>
      <c r="F4" s="23" t="s">
        <v>13</v>
      </c>
      <c r="G4" s="24">
        <v>0.24979530833392075</v>
      </c>
      <c r="H4" s="24">
        <v>0.34013304396348132</v>
      </c>
      <c r="I4" s="2">
        <v>1.3616470470646276</v>
      </c>
      <c r="J4" s="23" t="s">
        <v>40</v>
      </c>
      <c r="K4" s="24">
        <v>0.83283226487523987</v>
      </c>
      <c r="L4" t="s">
        <v>6</v>
      </c>
      <c r="M4" s="10">
        <v>0</v>
      </c>
    </row>
    <row r="5" spans="1:13" x14ac:dyDescent="0.35">
      <c r="A5" s="23" t="s">
        <v>36</v>
      </c>
      <c r="B5">
        <v>180600000</v>
      </c>
      <c r="C5">
        <v>34833900</v>
      </c>
      <c r="D5">
        <v>32889043.999999974</v>
      </c>
      <c r="F5" s="23" t="s">
        <v>11</v>
      </c>
      <c r="G5" s="24">
        <v>9.9891723257215834E-2</v>
      </c>
      <c r="H5" s="24">
        <v>0.1278376565941679</v>
      </c>
      <c r="I5" s="2">
        <v>1.2797622508222506</v>
      </c>
      <c r="J5" s="23" t="s">
        <v>5</v>
      </c>
      <c r="K5" s="24">
        <v>0.9866637108405073</v>
      </c>
      <c r="L5" t="s">
        <v>16</v>
      </c>
      <c r="M5" s="10">
        <v>0.14183658666666668</v>
      </c>
    </row>
    <row r="6" spans="1:13" x14ac:dyDescent="0.35">
      <c r="A6" s="23" t="s">
        <v>37</v>
      </c>
      <c r="B6">
        <v>200000000</v>
      </c>
      <c r="C6">
        <v>26191600</v>
      </c>
      <c r="D6">
        <v>25284967.349999998</v>
      </c>
      <c r="F6" s="23" t="s">
        <v>31</v>
      </c>
      <c r="G6" s="24">
        <v>0.2598208963110849</v>
      </c>
      <c r="H6" s="24">
        <v>0.28835391390935167</v>
      </c>
      <c r="I6" s="2">
        <v>1.109818024659972</v>
      </c>
      <c r="J6" s="23" t="s">
        <v>6</v>
      </c>
      <c r="K6" s="24">
        <v>0.95668062389043851</v>
      </c>
      <c r="L6" t="s">
        <v>25</v>
      </c>
      <c r="M6" s="10">
        <v>0.20877192982456141</v>
      </c>
    </row>
    <row r="7" spans="1:13" x14ac:dyDescent="0.35">
      <c r="A7" s="23" t="s">
        <v>38</v>
      </c>
      <c r="B7">
        <v>65520000</v>
      </c>
      <c r="C7">
        <v>1223000</v>
      </c>
      <c r="D7">
        <v>1042040.81</v>
      </c>
      <c r="F7" s="23" t="s">
        <v>7</v>
      </c>
      <c r="G7" s="24">
        <v>0.2182005728381502</v>
      </c>
      <c r="H7" s="24">
        <v>0.22987763510516937</v>
      </c>
      <c r="I7" s="2">
        <v>1.0535152686133442</v>
      </c>
      <c r="J7" s="23" t="s">
        <v>7</v>
      </c>
      <c r="K7" s="24">
        <v>1.0535152686133442</v>
      </c>
      <c r="L7" t="s">
        <v>27</v>
      </c>
      <c r="M7" s="10">
        <v>0.39473684210526316</v>
      </c>
    </row>
    <row r="8" spans="1:13" x14ac:dyDescent="0.35">
      <c r="A8" s="23" t="s">
        <v>1</v>
      </c>
      <c r="B8">
        <v>809320000</v>
      </c>
      <c r="C8">
        <v>151401400</v>
      </c>
      <c r="D8">
        <v>168684284.16</v>
      </c>
      <c r="F8" s="23" t="s">
        <v>18</v>
      </c>
      <c r="G8" s="24">
        <v>0.19423314786305712</v>
      </c>
      <c r="H8" s="24">
        <v>0.19898717972964966</v>
      </c>
      <c r="I8" s="2">
        <v>1.0244759039272964</v>
      </c>
      <c r="J8" s="23" t="s">
        <v>8</v>
      </c>
      <c r="K8" s="24">
        <v>0.98406121848739503</v>
      </c>
      <c r="L8" t="s">
        <v>14</v>
      </c>
      <c r="M8" s="10">
        <v>0.47872340425531917</v>
      </c>
    </row>
    <row r="9" spans="1:13" x14ac:dyDescent="0.35">
      <c r="F9" s="23" t="s">
        <v>35</v>
      </c>
      <c r="G9" s="24">
        <v>0.21820553801012799</v>
      </c>
      <c r="H9" s="24">
        <v>0.21845692123592547</v>
      </c>
      <c r="I9" s="2">
        <v>1.0011520478723406</v>
      </c>
      <c r="J9" s="23" t="s">
        <v>9</v>
      </c>
      <c r="K9" s="24">
        <v>0.84135621262458471</v>
      </c>
      <c r="L9" t="s">
        <v>24</v>
      </c>
      <c r="M9" s="10">
        <v>0.49019607843137258</v>
      </c>
    </row>
    <row r="10" spans="1:13" x14ac:dyDescent="0.35">
      <c r="A10" s="22" t="s">
        <v>0</v>
      </c>
      <c r="B10" t="s">
        <v>46</v>
      </c>
      <c r="C10" t="s">
        <v>47</v>
      </c>
      <c r="D10" t="s">
        <v>48</v>
      </c>
      <c r="F10" s="23" t="s">
        <v>19</v>
      </c>
      <c r="G10" s="24">
        <v>0.23847083930212642</v>
      </c>
      <c r="H10" s="24">
        <v>0.23749664800418582</v>
      </c>
      <c r="I10" s="2">
        <v>0.99591484098939931</v>
      </c>
      <c r="J10" s="23" t="s">
        <v>10</v>
      </c>
      <c r="K10" s="24">
        <v>0.98985027659574476</v>
      </c>
      <c r="L10" t="s">
        <v>32</v>
      </c>
      <c r="M10" s="10">
        <v>0.59087136929460582</v>
      </c>
    </row>
    <row r="11" spans="1:13" x14ac:dyDescent="0.35">
      <c r="A11" s="23" t="s">
        <v>36</v>
      </c>
      <c r="B11" s="24">
        <v>0.19287873754152823</v>
      </c>
      <c r="C11" s="24">
        <v>0.18210987818383154</v>
      </c>
      <c r="D11" s="24">
        <v>0.94416772167342666</v>
      </c>
      <c r="F11" s="23" t="s">
        <v>21</v>
      </c>
      <c r="G11" s="24">
        <v>0.20259534214695152</v>
      </c>
      <c r="H11" s="24">
        <v>0.20111798508550391</v>
      </c>
      <c r="I11" s="2">
        <v>0.99270784290600311</v>
      </c>
      <c r="J11" s="23" t="s">
        <v>11</v>
      </c>
      <c r="K11" s="24">
        <v>1.2797622508222506</v>
      </c>
      <c r="L11" t="s">
        <v>20</v>
      </c>
      <c r="M11" s="10">
        <v>0.61486486486486491</v>
      </c>
    </row>
    <row r="12" spans="1:13" x14ac:dyDescent="0.35">
      <c r="A12" s="23" t="s">
        <v>38</v>
      </c>
      <c r="B12" s="24">
        <v>1.8666056166056166E-2</v>
      </c>
      <c r="C12" s="24">
        <v>1.5904163766788767E-2</v>
      </c>
      <c r="D12" s="24">
        <v>0.85203663941128371</v>
      </c>
      <c r="F12" s="23" t="s">
        <v>23</v>
      </c>
      <c r="G12" s="24">
        <v>0.23616809674905606</v>
      </c>
      <c r="H12" s="24">
        <v>0.23427819658932886</v>
      </c>
      <c r="I12" s="2">
        <v>0.99199764834563853</v>
      </c>
      <c r="J12" s="23" t="s">
        <v>12</v>
      </c>
      <c r="K12" s="24">
        <v>0.92760207333914113</v>
      </c>
      <c r="L12" t="s">
        <v>26</v>
      </c>
      <c r="M12" s="10">
        <v>0.75146198830409361</v>
      </c>
    </row>
    <row r="13" spans="1:13" x14ac:dyDescent="0.35">
      <c r="A13" s="23" t="s">
        <v>37</v>
      </c>
      <c r="B13" s="24">
        <v>0.13095799999999999</v>
      </c>
      <c r="C13" s="24">
        <v>0.12642483674999999</v>
      </c>
      <c r="D13" s="24">
        <v>0.96538460231524614</v>
      </c>
      <c r="F13" s="23" t="s">
        <v>10</v>
      </c>
      <c r="G13" s="24">
        <v>0.1191577826511339</v>
      </c>
      <c r="H13" s="24">
        <v>0.11794836411576053</v>
      </c>
      <c r="I13" s="2">
        <v>0.98985027659574476</v>
      </c>
      <c r="J13" s="23" t="s">
        <v>13</v>
      </c>
      <c r="K13" s="24">
        <v>1.3616470470646276</v>
      </c>
      <c r="L13" t="s">
        <v>18</v>
      </c>
      <c r="M13" s="10">
        <v>0.79498077803203659</v>
      </c>
    </row>
    <row r="14" spans="1:13" x14ac:dyDescent="0.35">
      <c r="A14" s="23" t="s">
        <v>39</v>
      </c>
      <c r="B14" s="24">
        <v>0.24546503303964759</v>
      </c>
      <c r="C14" s="24">
        <v>0.30139931718061674</v>
      </c>
      <c r="D14" s="24">
        <v>1.2278706805947983</v>
      </c>
      <c r="F14" s="23" t="s">
        <v>5</v>
      </c>
      <c r="G14" s="24">
        <v>0.23710093631902532</v>
      </c>
      <c r="H14" s="24">
        <v>0.23393888967228832</v>
      </c>
      <c r="I14" s="2">
        <v>0.9866637108405073</v>
      </c>
      <c r="J14" s="23" t="s">
        <v>14</v>
      </c>
      <c r="K14" s="24">
        <v>0.88369560922063672</v>
      </c>
      <c r="L14" t="s">
        <v>19</v>
      </c>
      <c r="M14" s="10">
        <v>0.8091286307053942</v>
      </c>
    </row>
    <row r="15" spans="1:13" x14ac:dyDescent="0.35">
      <c r="A15" s="23" t="s">
        <v>1</v>
      </c>
      <c r="B15" s="24">
        <v>0.18707235704047842</v>
      </c>
      <c r="C15" s="24">
        <v>0.20842717856966342</v>
      </c>
      <c r="D15" s="24">
        <v>1.1141527367646535</v>
      </c>
      <c r="F15" s="23" t="s">
        <v>8</v>
      </c>
      <c r="G15" s="24">
        <v>6.3140022284713743E-2</v>
      </c>
      <c r="H15" s="24">
        <v>6.2133647264816683E-2</v>
      </c>
      <c r="I15" s="2">
        <v>0.98406121848739503</v>
      </c>
      <c r="J15" s="23" t="s">
        <v>55</v>
      </c>
      <c r="K15" s="24">
        <v>0</v>
      </c>
      <c r="L15" t="s">
        <v>34</v>
      </c>
      <c r="M15" s="10">
        <v>0.88171060714285709</v>
      </c>
    </row>
    <row r="16" spans="1:13" x14ac:dyDescent="0.35">
      <c r="F16" s="23" t="s">
        <v>41</v>
      </c>
      <c r="G16" s="24">
        <v>9.3735469417085854E-2</v>
      </c>
      <c r="H16" s="24">
        <v>9.1796776852517234E-2</v>
      </c>
      <c r="I16" s="2">
        <v>0.97931740698985348</v>
      </c>
      <c r="J16" s="23" t="s">
        <v>15</v>
      </c>
      <c r="K16" s="24">
        <v>0.88051642994241841</v>
      </c>
      <c r="L16" t="s">
        <v>35</v>
      </c>
      <c r="M16" s="10">
        <v>0.89475084668192217</v>
      </c>
    </row>
    <row r="17" spans="1:13" x14ac:dyDescent="0.35">
      <c r="B17" s="7">
        <f>GETPIVOTDATA("[Measures].[Sasaran Q1]",$A$10)</f>
        <v>0.18707235704047842</v>
      </c>
      <c r="C17" s="7">
        <f>GETPIVOTDATA("[Measures].[Prestasi (Sebenar/Sasaran)2]",$A$10)</f>
        <v>0.20842717856966342</v>
      </c>
      <c r="D17" s="7">
        <f>GETPIVOTDATA("[Measures].[Pencapaian]",$A$10)</f>
        <v>1.1141527367646535</v>
      </c>
      <c r="F17" s="23" t="s">
        <v>22</v>
      </c>
      <c r="G17" s="24">
        <v>0.22400423413145823</v>
      </c>
      <c r="H17" s="24">
        <v>0.21821536696176608</v>
      </c>
      <c r="I17" s="2">
        <v>0.97415733148019457</v>
      </c>
      <c r="J17" s="23" t="s">
        <v>16</v>
      </c>
      <c r="K17" s="24">
        <v>0.90701579426816781</v>
      </c>
      <c r="L17" t="s">
        <v>22</v>
      </c>
      <c r="M17" s="10">
        <v>0.9294605809128631</v>
      </c>
    </row>
    <row r="18" spans="1:13" x14ac:dyDescent="0.35">
      <c r="F18" s="23" t="s">
        <v>30</v>
      </c>
      <c r="G18" s="24">
        <v>0.19214680818918375</v>
      </c>
      <c r="H18" s="24">
        <v>0.18599798404827464</v>
      </c>
      <c r="I18" s="2">
        <v>0.9679993428001411</v>
      </c>
      <c r="J18" s="23" t="s">
        <v>41</v>
      </c>
      <c r="K18" s="24">
        <v>0.97931740698985348</v>
      </c>
      <c r="L18" t="s">
        <v>30</v>
      </c>
      <c r="M18" s="10">
        <v>0.94737185354691078</v>
      </c>
    </row>
    <row r="19" spans="1:13" x14ac:dyDescent="0.35">
      <c r="A19" s="22" t="s">
        <v>0</v>
      </c>
      <c r="B19" t="s">
        <v>4</v>
      </c>
      <c r="C19" t="s">
        <v>3</v>
      </c>
      <c r="F19" s="23" t="s">
        <v>17</v>
      </c>
      <c r="G19" s="24">
        <v>0.18179380985837371</v>
      </c>
      <c r="H19" s="24">
        <v>0.17450235735680214</v>
      </c>
      <c r="I19" s="2">
        <v>0.95989163488431228</v>
      </c>
      <c r="J19" s="23" t="s">
        <v>17</v>
      </c>
      <c r="K19" s="24">
        <v>0.95989163488431228</v>
      </c>
      <c r="L19" t="s">
        <v>21</v>
      </c>
      <c r="M19" s="10">
        <v>0.95892282157676356</v>
      </c>
    </row>
    <row r="20" spans="1:13" x14ac:dyDescent="0.35">
      <c r="A20" s="23" t="s">
        <v>56</v>
      </c>
      <c r="B20">
        <v>0</v>
      </c>
      <c r="C20">
        <v>0</v>
      </c>
      <c r="F20" s="23" t="s">
        <v>28</v>
      </c>
      <c r="G20" s="24">
        <v>0.20238796999433636</v>
      </c>
      <c r="H20" s="24">
        <v>0.19369393298426896</v>
      </c>
      <c r="I20" s="2">
        <v>0.95704271844660183</v>
      </c>
      <c r="J20" s="23" t="s">
        <v>42</v>
      </c>
      <c r="K20" s="24">
        <v>0.92177398635086316</v>
      </c>
      <c r="L20" t="s">
        <v>10</v>
      </c>
      <c r="M20" s="10">
        <v>0.98292424</v>
      </c>
    </row>
    <row r="21" spans="1:13" x14ac:dyDescent="0.35">
      <c r="A21" s="23" t="s">
        <v>50</v>
      </c>
      <c r="B21">
        <v>0</v>
      </c>
      <c r="C21">
        <v>0</v>
      </c>
      <c r="F21" s="23" t="s">
        <v>6</v>
      </c>
      <c r="G21" s="24">
        <v>6.7364284799043272E-2</v>
      </c>
      <c r="H21" s="24">
        <v>6.4446106009481904E-2</v>
      </c>
      <c r="I21" s="2">
        <v>0.95668062389043851</v>
      </c>
      <c r="J21" s="23" t="s">
        <v>18</v>
      </c>
      <c r="K21" s="24">
        <v>1.0244759039272964</v>
      </c>
      <c r="L21" t="s">
        <v>23</v>
      </c>
      <c r="M21" s="10">
        <v>1.0350877192982455</v>
      </c>
    </row>
    <row r="22" spans="1:13" x14ac:dyDescent="0.35">
      <c r="A22" s="23" t="s">
        <v>45</v>
      </c>
      <c r="B22">
        <v>0</v>
      </c>
      <c r="C22">
        <v>0</v>
      </c>
      <c r="F22" s="23" t="s">
        <v>27</v>
      </c>
      <c r="G22" s="24">
        <v>0.25376807872249807</v>
      </c>
      <c r="H22" s="24">
        <v>0.24079016638725426</v>
      </c>
      <c r="I22" s="2">
        <v>0.94885916148092253</v>
      </c>
      <c r="J22" s="23" t="s">
        <v>19</v>
      </c>
      <c r="K22" s="24">
        <v>0.99591484098939931</v>
      </c>
      <c r="L22" t="s">
        <v>7</v>
      </c>
      <c r="M22" s="10">
        <v>1.2965154516640254</v>
      </c>
    </row>
    <row r="23" spans="1:13" x14ac:dyDescent="0.35">
      <c r="A23" s="23" t="s">
        <v>53</v>
      </c>
      <c r="B23">
        <v>0</v>
      </c>
      <c r="C23">
        <v>0</v>
      </c>
      <c r="F23" s="23" t="s">
        <v>24</v>
      </c>
      <c r="G23" s="24">
        <v>0.21917266005288777</v>
      </c>
      <c r="H23" s="24">
        <v>0.20747886173384314</v>
      </c>
      <c r="I23" s="2">
        <v>0.94664572526416912</v>
      </c>
      <c r="J23" s="23" t="s">
        <v>20</v>
      </c>
      <c r="K23" s="24">
        <v>0.93479539675580881</v>
      </c>
      <c r="L23" t="s">
        <v>1</v>
      </c>
      <c r="M23" s="10">
        <v>1.3502847037975929</v>
      </c>
    </row>
    <row r="24" spans="1:13" x14ac:dyDescent="0.35">
      <c r="A24" s="23" t="s">
        <v>49</v>
      </c>
      <c r="B24">
        <v>0</v>
      </c>
      <c r="C24">
        <v>0</v>
      </c>
      <c r="F24" s="23" t="s">
        <v>32</v>
      </c>
      <c r="G24" s="24">
        <v>0.25498956318968324</v>
      </c>
      <c r="H24" s="24">
        <v>0.24134174542265541</v>
      </c>
      <c r="I24" s="2">
        <v>0.94647695538473697</v>
      </c>
      <c r="J24" s="23" t="s">
        <v>21</v>
      </c>
      <c r="K24" s="24">
        <v>0.99270784290600311</v>
      </c>
      <c r="L24" t="s">
        <v>11</v>
      </c>
      <c r="M24" s="10">
        <v>1.6014167679222358</v>
      </c>
    </row>
    <row r="25" spans="1:13" x14ac:dyDescent="0.35">
      <c r="A25" s="23" t="s">
        <v>52</v>
      </c>
      <c r="B25">
        <v>0</v>
      </c>
      <c r="C25">
        <v>0</v>
      </c>
      <c r="F25" s="23" t="s">
        <v>33</v>
      </c>
      <c r="G25" s="24">
        <v>0.18295032444012885</v>
      </c>
      <c r="H25" s="24">
        <v>0.17273807432067936</v>
      </c>
      <c r="I25" s="2">
        <v>0.94418020219039578</v>
      </c>
      <c r="J25" s="23" t="s">
        <v>43</v>
      </c>
      <c r="K25" s="24">
        <v>0.91093027185892705</v>
      </c>
      <c r="L25" t="s">
        <v>12</v>
      </c>
      <c r="M25" s="10">
        <v>1.8671781125226861</v>
      </c>
    </row>
    <row r="26" spans="1:13" x14ac:dyDescent="0.35">
      <c r="A26" s="23" t="s">
        <v>54</v>
      </c>
      <c r="B26">
        <v>0</v>
      </c>
      <c r="C26">
        <v>0</v>
      </c>
      <c r="F26" s="23" t="s">
        <v>26</v>
      </c>
      <c r="G26" s="24">
        <v>0.23639642304074399</v>
      </c>
      <c r="H26" s="24">
        <v>0.22199298409920845</v>
      </c>
      <c r="I26" s="2">
        <v>0.93907082536924413</v>
      </c>
      <c r="J26" s="23" t="s">
        <v>22</v>
      </c>
      <c r="K26" s="24">
        <v>0.97415733148019457</v>
      </c>
      <c r="L26" t="s">
        <v>31</v>
      </c>
      <c r="M26" s="10">
        <v>1.9983040935672516</v>
      </c>
    </row>
    <row r="27" spans="1:13" x14ac:dyDescent="0.35">
      <c r="A27" s="23" t="s">
        <v>51</v>
      </c>
      <c r="B27">
        <v>0</v>
      </c>
      <c r="C27">
        <v>0</v>
      </c>
      <c r="F27" s="23" t="s">
        <v>20</v>
      </c>
      <c r="G27" s="24">
        <v>0.23227396311721638</v>
      </c>
      <c r="H27" s="24">
        <v>0.21712863150820239</v>
      </c>
      <c r="I27" s="2">
        <v>0.93479539675580881</v>
      </c>
      <c r="J27" s="23" t="s">
        <v>23</v>
      </c>
      <c r="K27" s="24">
        <v>0.99199764834563853</v>
      </c>
      <c r="L27" t="s">
        <v>5</v>
      </c>
      <c r="M27" s="10" t="e">
        <v>#NUM!</v>
      </c>
    </row>
    <row r="28" spans="1:13" x14ac:dyDescent="0.35">
      <c r="A28" s="23" t="s">
        <v>71</v>
      </c>
      <c r="B28">
        <v>8700</v>
      </c>
      <c r="C28">
        <v>10000</v>
      </c>
      <c r="F28" s="23" t="s">
        <v>12</v>
      </c>
      <c r="G28" s="24">
        <v>0.20008281567195252</v>
      </c>
      <c r="H28" s="24">
        <v>0.18559723465683636</v>
      </c>
      <c r="I28" s="2">
        <v>0.92760207333914113</v>
      </c>
      <c r="J28" s="23" t="s">
        <v>44</v>
      </c>
      <c r="K28" s="24">
        <v>0.87543648648648631</v>
      </c>
      <c r="L28" t="s">
        <v>8</v>
      </c>
      <c r="M28" s="10" t="e">
        <v>#NUM!</v>
      </c>
    </row>
    <row r="29" spans="1:13" x14ac:dyDescent="0.35">
      <c r="A29" s="23" t="s">
        <v>72</v>
      </c>
      <c r="B29">
        <v>11210</v>
      </c>
      <c r="C29">
        <v>13000</v>
      </c>
      <c r="F29" s="23" t="s">
        <v>29</v>
      </c>
      <c r="G29" s="24">
        <v>0.23445693327724221</v>
      </c>
      <c r="H29" s="24">
        <v>0.21705140632684133</v>
      </c>
      <c r="I29" s="2">
        <v>0.92576237048268872</v>
      </c>
      <c r="J29" s="23" t="s">
        <v>24</v>
      </c>
      <c r="K29" s="24">
        <v>0.94664572526416912</v>
      </c>
      <c r="L29" t="s">
        <v>9</v>
      </c>
      <c r="M29" s="10" t="e">
        <v>#NUM!</v>
      </c>
    </row>
    <row r="30" spans="1:13" x14ac:dyDescent="0.35">
      <c r="A30" s="23" t="s">
        <v>75</v>
      </c>
      <c r="B30">
        <v>25630</v>
      </c>
      <c r="C30">
        <v>27000</v>
      </c>
      <c r="F30" s="23" t="s">
        <v>42</v>
      </c>
      <c r="G30" s="24">
        <v>6.1919273772178832E-2</v>
      </c>
      <c r="H30" s="24">
        <v>5.7075575816931727E-2</v>
      </c>
      <c r="I30" s="2">
        <v>0.92177398635086316</v>
      </c>
      <c r="J30" s="23" t="s">
        <v>25</v>
      </c>
      <c r="K30" s="24">
        <v>0.88144212115982046</v>
      </c>
      <c r="L30" t="s">
        <v>13</v>
      </c>
      <c r="M30" s="10" t="e">
        <v>#NUM!</v>
      </c>
    </row>
    <row r="31" spans="1:13" x14ac:dyDescent="0.35">
      <c r="A31" s="23" t="s">
        <v>76</v>
      </c>
      <c r="B31">
        <v>79988.350000000006</v>
      </c>
      <c r="C31">
        <v>85000</v>
      </c>
      <c r="F31" s="23" t="s">
        <v>43</v>
      </c>
      <c r="G31" s="24">
        <v>0.19473829805500176</v>
      </c>
      <c r="H31" s="24">
        <v>0.17739301078858752</v>
      </c>
      <c r="I31" s="2">
        <v>0.91093027185892705</v>
      </c>
      <c r="J31" s="23" t="s">
        <v>45</v>
      </c>
      <c r="K31" s="24">
        <v>0.84294607142857148</v>
      </c>
      <c r="L31" t="s">
        <v>55</v>
      </c>
      <c r="M31" s="10" t="e">
        <v>#NUM!</v>
      </c>
    </row>
    <row r="32" spans="1:13" x14ac:dyDescent="0.35">
      <c r="A32" s="23" t="s">
        <v>77</v>
      </c>
      <c r="B32">
        <v>95043.1</v>
      </c>
      <c r="C32">
        <v>100000</v>
      </c>
      <c r="F32" s="23" t="s">
        <v>16</v>
      </c>
      <c r="G32" s="24">
        <v>0.18799849909079538</v>
      </c>
      <c r="H32" s="24">
        <v>0.17051760797406121</v>
      </c>
      <c r="I32" s="2">
        <v>0.90701579426816781</v>
      </c>
      <c r="J32" s="23" t="s">
        <v>26</v>
      </c>
      <c r="K32" s="24">
        <v>0.93907082536924413</v>
      </c>
      <c r="L32" t="s">
        <v>15</v>
      </c>
      <c r="M32" s="10" t="e">
        <v>#NUM!</v>
      </c>
    </row>
    <row r="33" spans="1:13" x14ac:dyDescent="0.35">
      <c r="A33" s="23" t="s">
        <v>78</v>
      </c>
      <c r="B33">
        <v>127465</v>
      </c>
      <c r="C33">
        <v>131000</v>
      </c>
      <c r="F33" s="23" t="s">
        <v>14</v>
      </c>
      <c r="G33" s="24">
        <v>8.1131283317006142E-2</v>
      </c>
      <c r="H33" s="24">
        <v>7.169535883767382E-2</v>
      </c>
      <c r="I33" s="2">
        <v>0.88369560922063672</v>
      </c>
      <c r="J33" s="23" t="s">
        <v>27</v>
      </c>
      <c r="K33" s="24">
        <v>0.94885916148092253</v>
      </c>
    </row>
    <row r="34" spans="1:13" x14ac:dyDescent="0.35">
      <c r="A34" s="23" t="s">
        <v>73</v>
      </c>
      <c r="B34">
        <v>158873.67000000001</v>
      </c>
      <c r="C34">
        <v>200000</v>
      </c>
      <c r="F34" s="23" t="s">
        <v>25</v>
      </c>
      <c r="G34" s="24">
        <v>0.21993038447961069</v>
      </c>
      <c r="H34" s="24">
        <v>0.1938559046032029</v>
      </c>
      <c r="I34" s="2">
        <v>0.88144212115982046</v>
      </c>
      <c r="J34" s="23" t="s">
        <v>28</v>
      </c>
      <c r="K34" s="24">
        <v>0.95704271844660183</v>
      </c>
    </row>
    <row r="35" spans="1:13" x14ac:dyDescent="0.35">
      <c r="A35" s="23" t="s">
        <v>79</v>
      </c>
      <c r="B35">
        <v>168292.29</v>
      </c>
      <c r="C35">
        <v>182000</v>
      </c>
      <c r="F35" s="23" t="s">
        <v>15</v>
      </c>
      <c r="G35" s="24">
        <v>4.384045775833053E-2</v>
      </c>
      <c r="H35" s="24">
        <v>3.8602243352406598E-2</v>
      </c>
      <c r="I35" s="2">
        <v>0.88051642994241841</v>
      </c>
      <c r="J35" s="23" t="s">
        <v>29</v>
      </c>
      <c r="K35" s="24">
        <v>0.92576237048268872</v>
      </c>
    </row>
    <row r="36" spans="1:13" x14ac:dyDescent="0.35">
      <c r="A36" s="23" t="s">
        <v>80</v>
      </c>
      <c r="B36">
        <v>232818.52000000002</v>
      </c>
      <c r="C36">
        <v>252000</v>
      </c>
      <c r="F36" s="23" t="s">
        <v>34</v>
      </c>
      <c r="G36" s="24">
        <v>3.8999780342806933E-2</v>
      </c>
      <c r="H36" s="24">
        <v>3.4207311041671101E-2</v>
      </c>
      <c r="I36" s="2">
        <v>0.87711547965116299</v>
      </c>
      <c r="J36" s="23" t="s">
        <v>30</v>
      </c>
      <c r="K36" s="24">
        <v>0.9679993428001411</v>
      </c>
    </row>
    <row r="37" spans="1:13" x14ac:dyDescent="0.35">
      <c r="A37" s="23" t="s">
        <v>57</v>
      </c>
      <c r="B37">
        <v>402654.52999999991</v>
      </c>
      <c r="C37">
        <v>443300</v>
      </c>
      <c r="F37" s="23" t="s">
        <v>44</v>
      </c>
      <c r="G37" s="24">
        <v>0.15701727796301909</v>
      </c>
      <c r="H37" s="24">
        <v>0.13745865413761743</v>
      </c>
      <c r="I37" s="2">
        <v>0.87543648648648631</v>
      </c>
      <c r="J37" s="23" t="s">
        <v>31</v>
      </c>
      <c r="K37" s="24">
        <v>1.109818024659972</v>
      </c>
    </row>
    <row r="38" spans="1:13" x14ac:dyDescent="0.35">
      <c r="A38" s="23" t="s">
        <v>81</v>
      </c>
      <c r="B38">
        <v>443578.9</v>
      </c>
      <c r="C38">
        <v>458100</v>
      </c>
      <c r="F38" s="23" t="s">
        <v>45</v>
      </c>
      <c r="G38" s="24">
        <v>0.15308075009567546</v>
      </c>
      <c r="H38" s="24">
        <v>0.12903881690448854</v>
      </c>
      <c r="I38" s="2">
        <v>0.84294607142857148</v>
      </c>
      <c r="J38" s="23" t="s">
        <v>32</v>
      </c>
      <c r="K38" s="24">
        <v>0.94647695538473697</v>
      </c>
    </row>
    <row r="39" spans="1:13" x14ac:dyDescent="0.35">
      <c r="A39" s="23" t="s">
        <v>58</v>
      </c>
      <c r="B39">
        <v>495043.08999999997</v>
      </c>
      <c r="C39">
        <v>552500</v>
      </c>
      <c r="F39" s="23" t="s">
        <v>9</v>
      </c>
      <c r="G39" s="24">
        <v>0.21526138882929272</v>
      </c>
      <c r="H39" s="24">
        <v>0.1811115068297218</v>
      </c>
      <c r="I39" s="2">
        <v>0.84135621262458471</v>
      </c>
      <c r="J39" s="23" t="s">
        <v>33</v>
      </c>
      <c r="K39" s="24">
        <v>0.94418020219039578</v>
      </c>
    </row>
    <row r="40" spans="1:13" x14ac:dyDescent="0.35">
      <c r="A40" s="23" t="s">
        <v>59</v>
      </c>
      <c r="B40">
        <v>550196.42000000004</v>
      </c>
      <c r="C40">
        <v>613000</v>
      </c>
      <c r="F40" s="23" t="s">
        <v>40</v>
      </c>
      <c r="G40" s="24">
        <v>0.24919883292677095</v>
      </c>
      <c r="H40" s="24">
        <v>0.20754082843066915</v>
      </c>
      <c r="I40" s="2">
        <v>0.83283226487523987</v>
      </c>
      <c r="J40" s="23" t="s">
        <v>34</v>
      </c>
      <c r="K40" s="24">
        <v>0.87711547965116299</v>
      </c>
    </row>
    <row r="41" spans="1:13" x14ac:dyDescent="0.35">
      <c r="A41" s="23" t="s">
        <v>60</v>
      </c>
      <c r="B41">
        <v>588530.70000000007</v>
      </c>
      <c r="C41">
        <v>654000</v>
      </c>
      <c r="F41" s="23" t="s">
        <v>55</v>
      </c>
      <c r="G41" s="24">
        <v>0</v>
      </c>
      <c r="H41" s="24">
        <v>0</v>
      </c>
      <c r="I41" s="2">
        <v>0</v>
      </c>
      <c r="J41" s="23" t="s">
        <v>35</v>
      </c>
      <c r="K41" s="24">
        <v>1.0011520478723406</v>
      </c>
    </row>
    <row r="42" spans="1:13" x14ac:dyDescent="0.35">
      <c r="A42" s="23" t="s">
        <v>83</v>
      </c>
      <c r="B42">
        <v>821473.4</v>
      </c>
      <c r="C42">
        <v>1023500</v>
      </c>
      <c r="F42" s="23" t="s">
        <v>1</v>
      </c>
      <c r="G42" s="24">
        <v>0.18707235704047842</v>
      </c>
      <c r="H42" s="24">
        <v>0.20842717856966342</v>
      </c>
      <c r="I42" s="2">
        <v>1.1141527367646535</v>
      </c>
      <c r="J42" s="23" t="s">
        <v>1</v>
      </c>
      <c r="K42" s="24">
        <v>1.1141527367646535</v>
      </c>
    </row>
    <row r="43" spans="1:13" x14ac:dyDescent="0.35">
      <c r="A43" s="23" t="s">
        <v>74</v>
      </c>
      <c r="B43">
        <v>863257.14</v>
      </c>
      <c r="C43">
        <v>1000000</v>
      </c>
    </row>
    <row r="44" spans="1:13" x14ac:dyDescent="0.35">
      <c r="A44" s="23" t="s">
        <v>85</v>
      </c>
      <c r="B44">
        <v>1023796.42</v>
      </c>
      <c r="C44">
        <v>1034000</v>
      </c>
      <c r="F44" s="6">
        <f>COUNTIFS(K3:K42,"&gt;=95%", F3:F42,"&lt;&gt;Grand Total")</f>
        <v>18</v>
      </c>
      <c r="G44" s="6">
        <f>COUNTIFS(K3:K42,"&gt;=85%", K3:K42,"&lt;=94.99%", F3:F42,"&lt;&gt;Grand Total")</f>
        <v>16</v>
      </c>
      <c r="H44" s="6">
        <f>COUNTIFS(K3:K42,"&lt;84.99%", F3:F42,"&lt;&gt;Grand Total")</f>
        <v>4</v>
      </c>
      <c r="J44" s="16">
        <f>F44+G44+H44</f>
        <v>38</v>
      </c>
    </row>
    <row r="45" spans="1:13" ht="275.5" x14ac:dyDescent="0.35">
      <c r="A45" s="23" t="s">
        <v>61</v>
      </c>
      <c r="B45">
        <v>1410289.55</v>
      </c>
      <c r="C45">
        <v>1561500</v>
      </c>
      <c r="F45" s="14" t="str" cm="1">
        <f t="array" ref="F45">IFERROR(
  _xlfn.TEXTJOIN(", ", TRUE,
    _xlfn.LET(
      _xlpm.names, J4:J43,
      _xlpm.values, K4:K43,
      _xlpm.filtered, _xlfn._xlws.FILTER(
        CHOOSE({1,2}, _xlpm.names, _xlpm.values),
        ISNUMBER(_xlpm.values) * (_xlpm.values &gt;= 0.95) * (_xlpm.names &lt;&gt; "Grand Total")
      ),
      _xlpm.sorted, _xlfn._xlws.SORT(_xlpm.filtered, 2, -1),
      _xlfn.TEXTJOIN(", ", TRUE, INDEX(_xlpm.sorted,,1) &amp; " - " &amp; TEXT(INDEX(_xlpm.sorted,,2), "0.0%"))
    )
  ),
  "-"
)</f>
        <v>BPLV - 136.2%, BPKB - 128.0%, SR - 111.0%, BLA - 105.4%, JH - 102.4%, WP - 100.1%, KD - 99.6%, ML - 99.3%, PH - 99.2%, BPK - 99.0%, BKA - 98.7%, BPB - 98.4%, BSTU - 97.9%, NS - 97.4%, SL - 96.8%, BT - 96.0%, SD - 95.7%, BKK - 95.7%</v>
      </c>
      <c r="G45" s="8" t="str" cm="1">
        <f t="array" ref="G45">IFERROR(
  _xlfn.TEXTJOIN(", ", TRUE,
    _xlfn.LET(
      _xlpm.names, J4:J43,
      _xlpm.values, K4:K43,
      _xlpm.filtered, _xlfn._xlws.FILTER(
        CHOOSE({1,2}, _xlpm.names, _xlpm.values),
        ISNUMBER(_xlpm.values) * (_xlpm.values &gt;= 0.85) * (_xlpm.values &lt; 0.95) * (_xlpm.names &lt;&gt; "Grand Total")
      ),
      _xlpm.sorted, _xlfn._xlws.SORT(_xlpm.filtered, 2, -1),
      _xlfn.TEXTJOIN(", ", TRUE, INDEX(_xlpm.sorted,,1) &amp; " - " &amp; TEXT(INDEX(_xlpm.sorted,,2), "0.0%"))
    )
  ),
  "-"
)</f>
        <v>SB - 94.9%, PL - 94.7%, TR - 94.6%, TW - 94.4%, PR - 93.9%, KN - 93.5%, BPKPB - 92.8%, SI - 92.6%, BTM - 92.2%, MR - 91.1%, BSM - 90.7%, BPS - 88.4%, PP - 88.1%, BPT - 88.1%, UPF - 87.7%, PKE - 87.5%</v>
      </c>
      <c r="H45" s="8" t="str" cm="1">
        <f t="array" ref="H45">IFERROR(
  _xlfn.TEXTJOIN(", ", TRUE,
    _xlfn.LET(
      _xlpm.names, J4:J43,
      _xlpm.values, K4:K43,
      _xlpm.filtered, _xlfn._xlws.FILTER(
        CHOOSE({1,2}, _xlpm.names, _xlpm.values),
        ISNUMBER(_xlpm.values) * (_xlpm.values &lt; 0.85) * (_xlpm.names &lt;&gt; "Grand Total")
      ),
      _xlpm.sorted, _xlfn._xlws.SORT(_xlpm.filtered, 2, -1),
      _xlfn.TEXTJOIN(", ", TRUE, INDEX(_xlpm.sorted,,1) &amp; " - " &amp; TEXT(INDEX(_xlpm.sorted,,2), "0.0%"))
    )
  ),
  "-"
)</f>
        <v>PPUU - 84.3%, BPGK - 84.1%, BAR - 83.3%, BPS1 - 0.0%</v>
      </c>
    </row>
    <row r="46" spans="1:13" x14ac:dyDescent="0.35">
      <c r="A46" s="23" t="s">
        <v>62</v>
      </c>
      <c r="B46">
        <v>1801163.3799999997</v>
      </c>
      <c r="C46">
        <v>1892500</v>
      </c>
      <c r="M46"/>
    </row>
    <row r="47" spans="1:13" x14ac:dyDescent="0.35">
      <c r="A47" s="23" t="s">
        <v>84</v>
      </c>
      <c r="B47">
        <v>2453289.86</v>
      </c>
      <c r="C47">
        <v>2825000</v>
      </c>
      <c r="M47"/>
    </row>
    <row r="48" spans="1:13" x14ac:dyDescent="0.35">
      <c r="A48" s="23" t="s">
        <v>63</v>
      </c>
      <c r="B48">
        <v>2895522.28</v>
      </c>
      <c r="C48">
        <v>3117100</v>
      </c>
      <c r="M48"/>
    </row>
    <row r="49" spans="1:13" x14ac:dyDescent="0.35">
      <c r="A49" s="23" t="s">
        <v>66</v>
      </c>
      <c r="B49">
        <v>3565360</v>
      </c>
      <c r="C49">
        <v>2800000</v>
      </c>
      <c r="M49"/>
    </row>
    <row r="50" spans="1:13" x14ac:dyDescent="0.35">
      <c r="A50" s="23" t="s">
        <v>64</v>
      </c>
      <c r="B50">
        <v>5828867.25</v>
      </c>
      <c r="C50">
        <v>6000000</v>
      </c>
      <c r="M50"/>
    </row>
    <row r="51" spans="1:13" x14ac:dyDescent="0.35">
      <c r="A51" s="23" t="s">
        <v>67</v>
      </c>
      <c r="B51">
        <v>5951749.290000001</v>
      </c>
      <c r="C51">
        <v>5951700</v>
      </c>
      <c r="M51"/>
    </row>
    <row r="52" spans="1:13" x14ac:dyDescent="0.35">
      <c r="A52" s="23" t="s">
        <v>68</v>
      </c>
      <c r="B52">
        <v>10972683.560000001</v>
      </c>
      <c r="C52">
        <v>8126200</v>
      </c>
      <c r="M52"/>
    </row>
    <row r="53" spans="1:13" x14ac:dyDescent="0.35">
      <c r="A53" s="23" t="s">
        <v>65</v>
      </c>
      <c r="B53">
        <v>18916776.800000001</v>
      </c>
      <c r="C53">
        <v>20000000</v>
      </c>
      <c r="M53"/>
    </row>
    <row r="54" spans="1:13" x14ac:dyDescent="0.35">
      <c r="A54" s="23" t="s">
        <v>82</v>
      </c>
      <c r="B54">
        <v>19813591.510000002</v>
      </c>
      <c r="C54">
        <v>20074000</v>
      </c>
      <c r="M54"/>
    </row>
    <row r="55" spans="1:13" x14ac:dyDescent="0.35">
      <c r="A55" s="23" t="s">
        <v>69</v>
      </c>
      <c r="B55">
        <v>20569250</v>
      </c>
      <c r="C55">
        <v>22275000</v>
      </c>
      <c r="M55"/>
    </row>
    <row r="56" spans="1:13" x14ac:dyDescent="0.35">
      <c r="A56" s="23" t="s">
        <v>70</v>
      </c>
      <c r="B56">
        <v>68409189.150000006</v>
      </c>
      <c r="C56">
        <v>50000000</v>
      </c>
      <c r="M56"/>
    </row>
    <row r="57" spans="1:13" x14ac:dyDescent="0.35">
      <c r="A57" s="23" t="s">
        <v>1</v>
      </c>
      <c r="B57">
        <v>168684284.16</v>
      </c>
      <c r="C57">
        <v>151401400</v>
      </c>
      <c r="M57"/>
    </row>
    <row r="58" spans="1:13" x14ac:dyDescent="0.35">
      <c r="M58"/>
    </row>
    <row r="59" spans="1:13" x14ac:dyDescent="0.35">
      <c r="M59"/>
    </row>
    <row r="60" spans="1:13" x14ac:dyDescent="0.35">
      <c r="M60"/>
    </row>
    <row r="61" spans="1:13" x14ac:dyDescent="0.35">
      <c r="M61"/>
    </row>
    <row r="62" spans="1:13" x14ac:dyDescent="0.35">
      <c r="M62"/>
    </row>
    <row r="63" spans="1:13" x14ac:dyDescent="0.35">
      <c r="B63" s="15" t="str">
        <f>IFERROR(
  IF(GETPIVOTDATA("[Measures].[Sum of SEBENAR Q1-25 2]",$A$19) &gt;= 1000000,
     "RM " &amp; TEXT(GETPIVOTDATA("[Measures].[Sum of SEBENAR Q1-25 2]",$A$19)/1000000, "0.00") &amp; " juta",
     "RM " &amp; TEXT(GETPIVOTDATA("[Measures].[Sum of SEBENAR Q1-25 2]",$A$19)/1000, "0.00") &amp; " ribu"
  ),
  "-"
)</f>
        <v>RM 168.68 juta</v>
      </c>
      <c r="C63" s="15" t="str">
        <f>IFERROR(
  IF(GETPIVOTDATA("[Measures].[Sum of SASARAN Q1-25 2]",$A$19) &gt;= 1000000,
     "RM " &amp; TEXT(GETPIVOTDATA("[Measures].[Sum of SASARAN Q1-25 2]",$A$19)/1000000, "0.00") &amp; " juta",
     "RM " &amp; TEXT(GETPIVOTDATA("[Measures].[Sum of SASARAN Q1-25 2]",$A$19)/1000, "0.00") &amp; " ribu"
  ),
  "-"
)</f>
        <v>RM 151.40 juta</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79" spans="4:13" x14ac:dyDescent="0.35">
      <c r="F79" t="str">
        <f>IFERROR(
  IF(GETPIVOTDATA("[Measures].[Sum of SASARAN Q1-25]", $E$46) &gt;= 1000000,
     "RM " &amp; TEXT(GETPIVOTDATA("[Measures].[Sum of SASARAN Q1-25]", $E$46)/1000000, "0.00") &amp; " juta",
     "RM " &amp; TEXT(GETPIVOTDATA("[Measures].[Sum of SASARAN Q1-25]", $E$46)/1000, "0.00") &amp; " ribu"
  ),
  "-"
)</f>
        <v>-</v>
      </c>
      <c r="G79" t="str">
        <f>IFERROR(
  IF(GETPIVOTDATA("[Measures].[Sum of SEBENAR Q1-25]",$E$46) &gt;= 1000000,
     "RM " &amp; TEXT(GETPIVOTDATA("[Measures].[Sum of SEBENAR Q1-25]",$E$46)/1000000, "0.00") &amp; " juta",
     "RM " &amp; TEXT(GETPIVOTDATA("[Measures].[Sum of SEBENAR Q1-25]",$E$46)/1000, "0.00") &amp; " ribu"
  ),
  "-"
)</f>
        <v>-</v>
      </c>
    </row>
    <row r="87" spans="11:15" x14ac:dyDescent="0.35">
      <c r="K87" s="11" t="e">
        <f>GETPIVOTDATA("[Measures].[SASARAN BELJ PRG%]",$J$46)</f>
        <v>#REF!</v>
      </c>
      <c r="M87" s="10" t="e">
        <f>GETPIVOTDATA("[Measures].[measure 1]",$L$46)</f>
        <v>#REF!</v>
      </c>
    </row>
    <row r="89" spans="11:15" x14ac:dyDescent="0.35">
      <c r="M89" s="13">
        <f>COUNTIFS(M47:M85,"&gt;=85%", L47:L85,"&lt;&gt;Grand Total")</f>
        <v>0</v>
      </c>
      <c r="N89">
        <f>COUNTIFS(M47:M85,"&gt;=60%", M47:M85,"&lt;=84.999%", L47:L85,"&lt;&gt;Grand Total")</f>
        <v>0</v>
      </c>
      <c r="O89">
        <f>COUNTIFS(M47:M85,"&lt;0.6", L47:L85,"&lt;&gt;Grand Total")</f>
        <v>0</v>
      </c>
    </row>
    <row r="90" spans="11:15" x14ac:dyDescent="0.35">
      <c r="M90" s="12" t="str" cm="1">
        <f t="array" ref="M90">IFERROR(
  _xlfn.TEXTJOIN(", ", TRUE,
    _xlfn._xlws.FILTER(
      L47:L85 &amp; " - " &amp; TEXT(M47:M85, "0%"),
      ISNUMBER(M47:M85) * (M47:M85 &gt;= 0.85) * (L47:L85 &lt;&gt; "Grand Total")
    )
  ),
  "-"
)</f>
        <v>-</v>
      </c>
      <c r="N90" s="8" t="str" cm="1">
        <f t="array" ref="N90">IFERROR(
  _xlfn.TEXTJOIN(", ", TRUE,
    _xlfn._xlws.FILTER(
      L47:L85 &amp; " - " &amp; TEXT(M47:M85, "0%"),
      (ISNUMBER(M47:M85)) *
      (M47:M85 &gt;= 0.6) *
      (M47:M85 &lt;= 0.84999) *
      (L47:L85 &lt;&gt; "Grand Total")
    )
  ),
  "-"
)</f>
        <v>-</v>
      </c>
      <c r="O90" s="9" t="str" cm="1">
        <f t="array" ref="O90">IFERROR(
  _xlfn.TEXTJOIN(", ", TRUE,
    _xlfn._xlws.FILTER(
      L47:L85 &amp; " - " &amp; TEXT(M47:M85, "0%"),
      (ISNUMBER(M47:M85)) *
      (M47:M85 &lt; 0.6) *
      (L47:L85 &lt;&gt; "Grand Total")
    )
  ),
  "-"
)</f>
        <v>-</v>
      </c>
    </row>
  </sheetData>
  <autoFilter ref="L3:M32" xr:uid="{E4F7B7D3-F05E-40B6-BDE7-93622262DBB7}">
    <sortState xmlns:xlrd2="http://schemas.microsoft.com/office/spreadsheetml/2017/richdata2" ref="L4:M32">
      <sortCondition ref="M3:M32"/>
    </sortState>
  </autoFilter>
  <conditionalFormatting pivot="1" sqref="K4:K14 K16:K41">
    <cfRule type="colorScale" priority="2">
      <colorScale>
        <cfvo type="percent" val="&quot;&lt;60&quot;"/>
        <cfvo type="percent" val="&quot;60-84&quot;"/>
        <cfvo type="percent" val="&quot;&gt;85&quot;"/>
        <color rgb="FFF8696B"/>
        <color rgb="FFFFEB84"/>
        <color rgb="FF63BE7B"/>
      </colorScale>
    </cfRule>
  </conditionalFormatting>
  <conditionalFormatting pivot="1" sqref="K4:K14 K16:K41">
    <cfRule type="colorScale" priority="1">
      <colorScale>
        <cfvo type="percent" val="&quot;&lt;60&quot;"/>
        <cfvo type="percent" val="&quot;60-84&quot;"/>
        <cfvo type="percent" val="&quot;&gt;85&quot;"/>
        <color rgb="FFF8696B"/>
        <color rgb="FFFFEB84"/>
        <color rgb="FF63BE7B"/>
      </colorScale>
    </cfRule>
  </conditionalFormatting>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dimension ref="A1:E26"/>
  <sheetViews>
    <sheetView zoomScale="85" zoomScaleNormal="85" workbookViewId="0">
      <selection activeCell="Q25" sqref="Q25"/>
    </sheetView>
  </sheetViews>
  <sheetFormatPr defaultRowHeight="14.5" x14ac:dyDescent="0.35"/>
  <cols>
    <col min="1" max="1" width="18.81640625" style="1" bestFit="1" customWidth="1"/>
    <col min="2" max="2" width="16.36328125" style="1" bestFit="1" customWidth="1"/>
    <col min="3" max="3" width="14.7265625" style="1" bestFit="1" customWidth="1"/>
    <col min="4" max="5" width="15.7265625" style="1" bestFit="1" customWidth="1"/>
    <col min="6" max="16384" width="8.7265625" style="1"/>
  </cols>
  <sheetData>
    <row r="1" spans="1:5" s="27" customFormat="1" ht="22.5" customHeight="1" x14ac:dyDescent="0.35">
      <c r="A1" s="25" t="s">
        <v>172</v>
      </c>
      <c r="B1" s="26" t="s">
        <v>166</v>
      </c>
      <c r="C1" s="26" t="s">
        <v>173</v>
      </c>
      <c r="D1" s="26" t="s">
        <v>174</v>
      </c>
      <c r="E1" s="26" t="s">
        <v>175</v>
      </c>
    </row>
    <row r="2" spans="1:5" s="27" customFormat="1" ht="22.5" customHeight="1" x14ac:dyDescent="0.35">
      <c r="A2" s="27" t="s">
        <v>167</v>
      </c>
      <c r="B2" s="28">
        <v>363200000</v>
      </c>
      <c r="C2" s="28">
        <v>89152900</v>
      </c>
      <c r="D2" s="28">
        <v>109468232.00000001</v>
      </c>
      <c r="E2" s="28">
        <v>106877075.24000001</v>
      </c>
    </row>
    <row r="3" spans="1:5" s="27" customFormat="1" ht="22.5" customHeight="1" x14ac:dyDescent="0.35">
      <c r="A3" s="27" t="s">
        <v>171</v>
      </c>
      <c r="B3" s="28">
        <v>446120000</v>
      </c>
      <c r="C3" s="28">
        <v>62248500</v>
      </c>
      <c r="D3" s="28">
        <v>59216052.159999996</v>
      </c>
      <c r="E3" s="28">
        <v>55315991.890000001</v>
      </c>
    </row>
    <row r="11" spans="1:5" s="29" customFormat="1" ht="23" customHeight="1" x14ac:dyDescent="0.35">
      <c r="A11" s="25" t="s">
        <v>172</v>
      </c>
      <c r="B11" s="26" t="s">
        <v>166</v>
      </c>
      <c r="C11" s="26" t="s">
        <v>173</v>
      </c>
      <c r="D11" s="26" t="s">
        <v>174</v>
      </c>
      <c r="E11" s="26" t="s">
        <v>175</v>
      </c>
    </row>
    <row r="12" spans="1:5" ht="23" customHeight="1" x14ac:dyDescent="0.35">
      <c r="A12" s="30" t="s">
        <v>167</v>
      </c>
      <c r="B12" s="31">
        <v>363200000</v>
      </c>
      <c r="C12" s="31">
        <v>89152900</v>
      </c>
      <c r="D12" s="31">
        <v>109468232.00000001</v>
      </c>
      <c r="E12" s="31">
        <v>106877075.24000001</v>
      </c>
    </row>
    <row r="13" spans="1:5" ht="23" customHeight="1" x14ac:dyDescent="0.35">
      <c r="A13" s="30" t="s">
        <v>171</v>
      </c>
      <c r="B13" s="31">
        <v>446120000</v>
      </c>
      <c r="C13" s="31">
        <v>62248500</v>
      </c>
      <c r="D13" s="31">
        <v>59216052.159999996</v>
      </c>
      <c r="E13" s="31">
        <v>55315991.890000001</v>
      </c>
    </row>
    <row r="14" spans="1:5" ht="31.5" customHeight="1" x14ac:dyDescent="0.35">
      <c r="A14" s="33" t="s">
        <v>176</v>
      </c>
      <c r="B14" s="32">
        <v>-82920000</v>
      </c>
      <c r="C14" s="31">
        <v>26904400</v>
      </c>
      <c r="D14" s="31">
        <v>50252179.840000018</v>
      </c>
      <c r="E14" s="31">
        <v>51561083.350000009</v>
      </c>
    </row>
    <row r="23" spans="1:5" ht="26.5" customHeight="1" x14ac:dyDescent="0.35">
      <c r="A23" s="25" t="s">
        <v>172</v>
      </c>
      <c r="B23" s="26" t="s">
        <v>166</v>
      </c>
      <c r="C23" s="26" t="s">
        <v>173</v>
      </c>
      <c r="D23" s="26" t="s">
        <v>174</v>
      </c>
      <c r="E23" s="26" t="s">
        <v>175</v>
      </c>
    </row>
    <row r="24" spans="1:5" ht="26.5" customHeight="1" x14ac:dyDescent="0.35">
      <c r="A24" s="27" t="s">
        <v>168</v>
      </c>
      <c r="B24" s="28">
        <v>200000000</v>
      </c>
      <c r="C24" s="28">
        <v>26191600</v>
      </c>
      <c r="D24" s="28">
        <v>25284967.349999998</v>
      </c>
      <c r="E24" s="28">
        <v>17471311.920000002</v>
      </c>
    </row>
    <row r="25" spans="1:5" ht="26.5" customHeight="1" x14ac:dyDescent="0.35">
      <c r="A25" s="27" t="s">
        <v>169</v>
      </c>
      <c r="B25" s="28">
        <v>180600000</v>
      </c>
      <c r="C25" s="28">
        <v>34833900</v>
      </c>
      <c r="D25" s="28">
        <v>32889044</v>
      </c>
      <c r="E25" s="28">
        <v>34510396.460000001</v>
      </c>
    </row>
    <row r="26" spans="1:5" ht="26.5" customHeight="1" x14ac:dyDescent="0.35">
      <c r="A26" s="27" t="s">
        <v>170</v>
      </c>
      <c r="B26" s="28">
        <v>65520000</v>
      </c>
      <c r="C26" s="28">
        <v>1223000</v>
      </c>
      <c r="D26" s="28">
        <v>1042040.81</v>
      </c>
      <c r="E26" s="28">
        <v>3334283.51</v>
      </c>
    </row>
  </sheetData>
  <pageMargins left="0.7" right="0.7" top="0.75" bottom="0.75" header="0.3" footer="0.3"/>
  <drawing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dimension ref="A32:G36"/>
  <sheetViews>
    <sheetView topLeftCell="A4" zoomScale="80" zoomScaleNormal="80" workbookViewId="0">
      <selection activeCell="D33" sqref="D33"/>
    </sheetView>
  </sheetViews>
  <sheetFormatPr defaultRowHeight="14.5" x14ac:dyDescent="0.35"/>
  <cols>
    <col min="1" max="1" width="23.81640625" bestFit="1" customWidth="1"/>
    <col min="2" max="2" width="14.7265625" bestFit="1" customWidth="1"/>
    <col min="3" max="3" width="16.54296875" bestFit="1" customWidth="1"/>
    <col min="4" max="4" width="13.36328125" bestFit="1" customWidth="1"/>
    <col min="5" max="5" width="16.54296875" bestFit="1" customWidth="1"/>
    <col min="6" max="6" width="13.36328125" bestFit="1" customWidth="1"/>
  </cols>
  <sheetData>
    <row r="32" spans="1:5" x14ac:dyDescent="0.35">
      <c r="A32" s="34" t="s">
        <v>179</v>
      </c>
      <c r="B32" s="35" t="s">
        <v>189</v>
      </c>
      <c r="C32" s="35" t="s">
        <v>190</v>
      </c>
      <c r="D32" s="35" t="s">
        <v>191</v>
      </c>
      <c r="E32" s="35" t="s">
        <v>188</v>
      </c>
    </row>
    <row r="33" spans="1:7" x14ac:dyDescent="0.35">
      <c r="A33" s="34" t="s">
        <v>182</v>
      </c>
      <c r="B33" s="37">
        <v>0</v>
      </c>
      <c r="C33" s="37">
        <v>468597232.14999992</v>
      </c>
      <c r="D33" s="37">
        <v>652641109.48999989</v>
      </c>
      <c r="E33" s="37">
        <f>SUM(Table2[[#This Row],[ASET BERSIH (RM)]:[SEMASA (RM)]])</f>
        <v>1121238341.6399999</v>
      </c>
      <c r="G33" s="36"/>
    </row>
    <row r="34" spans="1:7" x14ac:dyDescent="0.35">
      <c r="A34" s="34" t="s">
        <v>183</v>
      </c>
      <c r="B34" s="37">
        <v>1027939700.83</v>
      </c>
      <c r="C34" s="37">
        <v>39710053.960000001</v>
      </c>
      <c r="D34" s="37">
        <v>49088586.849999994</v>
      </c>
      <c r="E34" s="37">
        <f>SUM(Table2[[#This Row],[ASET BERSIH (RM)]:[SEMASA (RM)]])</f>
        <v>1116738341.6400001</v>
      </c>
      <c r="G34" s="36"/>
    </row>
    <row r="35" spans="1:7" x14ac:dyDescent="0.35">
      <c r="A35" s="34" t="s">
        <v>177</v>
      </c>
      <c r="B35" s="37">
        <v>0</v>
      </c>
      <c r="C35" s="37">
        <v>463789345.48000002</v>
      </c>
      <c r="D35" s="37">
        <v>698211627.68000007</v>
      </c>
      <c r="E35" s="37">
        <f>SUM(Table2[[#This Row],[ASET BERSIH (RM)]:[SEMASA (RM)]])</f>
        <v>1162000973.1600001</v>
      </c>
      <c r="G35" s="36"/>
    </row>
    <row r="36" spans="1:7" x14ac:dyDescent="0.35">
      <c r="A36" s="34" t="s">
        <v>178</v>
      </c>
      <c r="B36" s="37">
        <v>1079233921.48</v>
      </c>
      <c r="C36" s="37">
        <v>39345384.810000002</v>
      </c>
      <c r="D36" s="37">
        <v>38921666.869999997</v>
      </c>
      <c r="E36" s="37">
        <f>SUM(Table2[[#This Row],[ASET BERSIH (RM)]:[SEMASA (RM)]])</f>
        <v>1157500973.1599998</v>
      </c>
      <c r="G36" s="36"/>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dimension ref="A1:E25"/>
  <sheetViews>
    <sheetView zoomScale="80" zoomScaleNormal="80" workbookViewId="0">
      <selection activeCell="C24" sqref="C24"/>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46" customFormat="1" x14ac:dyDescent="0.35"/>
    <row r="23" spans="1:5" ht="29" x14ac:dyDescent="0.35">
      <c r="A23" s="45" t="s">
        <v>179</v>
      </c>
      <c r="B23" s="42" t="s">
        <v>184</v>
      </c>
      <c r="C23" s="43" t="s">
        <v>187</v>
      </c>
      <c r="D23" s="42" t="s">
        <v>186</v>
      </c>
      <c r="E23" s="41" t="s">
        <v>185</v>
      </c>
    </row>
    <row r="24" spans="1:5" x14ac:dyDescent="0.35">
      <c r="A24" s="47" t="s">
        <v>181</v>
      </c>
      <c r="B24" s="40">
        <v>500245702</v>
      </c>
      <c r="C24" s="40">
        <v>125524119</v>
      </c>
      <c r="D24" s="44">
        <v>-17678438</v>
      </c>
      <c r="E24" s="40">
        <v>608091383</v>
      </c>
    </row>
    <row r="25" spans="1:5" x14ac:dyDescent="0.35">
      <c r="A25" s="48" t="s">
        <v>180</v>
      </c>
      <c r="B25" s="39">
        <v>608091383</v>
      </c>
      <c r="C25" s="38">
        <v>9514977</v>
      </c>
      <c r="D25" s="38">
        <v>5055551</v>
      </c>
      <c r="E25" s="40">
        <v>622661911</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Props1.xml><?xml version="1.0" encoding="utf-8"?>
<ds:datastoreItem xmlns:ds="http://schemas.openxmlformats.org/officeDocument/2006/customXml" ds:itemID="{FA5FD9AB-AFD5-4DB8-8081-27392E33D3BB}">
  <ds:schemaRefs/>
</ds:datastoreItem>
</file>

<file path=customXml/itemProps2.xml><?xml version="1.0" encoding="utf-8"?>
<ds:datastoreItem xmlns:ds="http://schemas.openxmlformats.org/officeDocument/2006/customXml" ds:itemID="{5696842C-F875-4C87-A359-7C4F37EF5C00}">
  <ds:schemaRefs/>
</ds:datastoreItem>
</file>

<file path=customXml/itemProps3.xml><?xml version="1.0" encoding="utf-8"?>
<ds:datastoreItem xmlns:ds="http://schemas.openxmlformats.org/officeDocument/2006/customXml" ds:itemID="{4F718424-0D97-4DD7-B238-5EB0E662187F}">
  <ds:schemaRefs/>
</ds:datastoreItem>
</file>

<file path=customXml/itemProps4.xml><?xml version="1.0" encoding="utf-8"?>
<ds:datastoreItem xmlns:ds="http://schemas.openxmlformats.org/officeDocument/2006/customXml" ds:itemID="{2A3AED11-1416-4D75-8762-BC7FB229211D}">
  <ds:schemaRefs/>
</ds:datastoreItem>
</file>

<file path=customXml/itemProps5.xml><?xml version="1.0" encoding="utf-8"?>
<ds:datastoreItem xmlns:ds="http://schemas.openxmlformats.org/officeDocument/2006/customXml" ds:itemID="{A6E2E9A1-B9BD-4385-9DDE-D7D11E9857BC}">
  <ds:schemaRefs/>
</ds:datastoreItem>
</file>

<file path=customXml/itemProps6.xml><?xml version="1.0" encoding="utf-8"?>
<ds:datastoreItem xmlns:ds="http://schemas.openxmlformats.org/officeDocument/2006/customXml" ds:itemID="{85B90DC7-27BD-4368-B946-1BBAFB417312}">
  <ds:schemaRefs/>
</ds:datastoreItem>
</file>

<file path=customXml/itemProps7.xml><?xml version="1.0" encoding="utf-8"?>
<ds:datastoreItem xmlns:ds="http://schemas.openxmlformats.org/officeDocument/2006/customXml" ds:itemID="{241251A2-1A2D-43FB-9097-DEEB70843033}">
  <ds:schemaRefs/>
</ds:datastoreItem>
</file>

<file path=customXml/itemProps8.xml><?xml version="1.0" encoding="utf-8"?>
<ds:datastoreItem xmlns:ds="http://schemas.openxmlformats.org/officeDocument/2006/customXml" ds:itemID="{C3A88408-A763-48B8-8F62-32D4A7C95E3C}">
  <ds:schemaRefs/>
</ds:datastoreItem>
</file>

<file path=customXml/itemProps9.xml><?xml version="1.0" encoding="utf-8"?>
<ds:datastoreItem xmlns:ds="http://schemas.openxmlformats.org/officeDocument/2006/customXml" ds:itemID="{E0650229-35CB-48D6-BBAF-7E7AA7FEA490}">
  <ds:schemaRefs/>
</ds:datastoreItem>
</file>

<file path=customXml/itemProps10.xml><?xml version="1.0" encoding="utf-8"?>
<ds:datastoreItem xmlns:ds="http://schemas.openxmlformats.org/officeDocument/2006/customXml" ds:itemID="{24E8041D-2715-4D04-9107-4924C4C36A24}">
  <ds:schemaRefs/>
</ds:datastoreItem>
</file>

<file path=customXml/itemProps11.xml><?xml version="1.0" encoding="utf-8"?>
<ds:datastoreItem xmlns:ds="http://schemas.openxmlformats.org/officeDocument/2006/customXml" ds:itemID="{8639CE76-EBB2-4ADD-A7B1-E41C29412D84}">
  <ds:schemaRefs/>
</ds:datastoreItem>
</file>

<file path=customXml/itemProps12.xml><?xml version="1.0" encoding="utf-8"?>
<ds:datastoreItem xmlns:ds="http://schemas.openxmlformats.org/officeDocument/2006/customXml" ds:itemID="{DDBEB230-302B-4EF2-B9E9-3D7C12B85AD6}">
  <ds:schemaRefs/>
</ds:datastoreItem>
</file>

<file path=customXml/itemProps13.xml><?xml version="1.0" encoding="utf-8"?>
<ds:datastoreItem xmlns:ds="http://schemas.openxmlformats.org/officeDocument/2006/customXml" ds:itemID="{21052FF9-AE0B-4753-89B7-8B87DDEACD6F}">
  <ds:schemaRefs/>
</ds:datastoreItem>
</file>

<file path=customXml/itemProps14.xml><?xml version="1.0" encoding="utf-8"?>
<ds:datastoreItem xmlns:ds="http://schemas.openxmlformats.org/officeDocument/2006/customXml" ds:itemID="{18D881DF-7DEB-40AF-9B5F-EE233C80EC5E}">
  <ds:schemaRefs/>
</ds:datastoreItem>
</file>

<file path=customXml/itemProps15.xml><?xml version="1.0" encoding="utf-8"?>
<ds:datastoreItem xmlns:ds="http://schemas.openxmlformats.org/officeDocument/2006/customXml" ds:itemID="{9448E05A-4F7B-4FEA-B680-E8115FB21FCD}">
  <ds:schemaRefs/>
</ds:datastoreItem>
</file>

<file path=customXml/itemProps16.xml><?xml version="1.0" encoding="utf-8"?>
<ds:datastoreItem xmlns:ds="http://schemas.openxmlformats.org/officeDocument/2006/customXml" ds:itemID="{90DA2F7B-84A2-470A-A428-2B9BE675E40B}">
  <ds:schemaRefs/>
</ds:datastoreItem>
</file>

<file path=customXml/itemProps17.xml><?xml version="1.0" encoding="utf-8"?>
<ds:datastoreItem xmlns:ds="http://schemas.openxmlformats.org/officeDocument/2006/customXml" ds:itemID="{1DD616DB-9330-4763-9BDF-703703A71CBC}">
  <ds:schemaRefs/>
</ds:datastoreItem>
</file>

<file path=customXml/itemProps18.xml><?xml version="1.0" encoding="utf-8"?>
<ds:datastoreItem xmlns:ds="http://schemas.openxmlformats.org/officeDocument/2006/customXml" ds:itemID="{C20EBF15-640B-4DF1-B843-7E9DAF1E5205}">
  <ds:schemaRefs>
    <ds:schemaRef ds:uri="http://schemas.microsoft.com/DataMashup"/>
  </ds:schemaRefs>
</ds:datastoreItem>
</file>

<file path=customXml/itemProps19.xml><?xml version="1.0" encoding="utf-8"?>
<ds:datastoreItem xmlns:ds="http://schemas.openxmlformats.org/officeDocument/2006/customXml" ds:itemID="{B7FFAD3D-6FF6-4E86-AE21-F5D3E4A6FE9C}">
  <ds:schemaRefs/>
</ds:datastoreItem>
</file>

<file path=customXml/itemProps20.xml><?xml version="1.0" encoding="utf-8"?>
<ds:datastoreItem xmlns:ds="http://schemas.openxmlformats.org/officeDocument/2006/customXml" ds:itemID="{DD1AD45D-1EA5-4889-8B8B-D346A2AA299C}">
  <ds:schemaRefs/>
</ds:datastoreItem>
</file>

<file path=customXml/itemProps21.xml><?xml version="1.0" encoding="utf-8"?>
<ds:datastoreItem xmlns:ds="http://schemas.openxmlformats.org/officeDocument/2006/customXml" ds:itemID="{E0B3E782-A7D8-4508-A027-74D471F5AADC}">
  <ds:schemaRefs/>
</ds:datastoreItem>
</file>

<file path=customXml/itemProps22.xml><?xml version="1.0" encoding="utf-8"?>
<ds:datastoreItem xmlns:ds="http://schemas.openxmlformats.org/officeDocument/2006/customXml" ds:itemID="{2F27D8F0-826B-47D7-9E2F-B185308D69D2}">
  <ds:schemaRefs/>
</ds:datastoreItem>
</file>

<file path=customXml/itemProps23.xml><?xml version="1.0" encoding="utf-8"?>
<ds:datastoreItem xmlns:ds="http://schemas.openxmlformats.org/officeDocument/2006/customXml" ds:itemID="{18D1963F-FE45-4479-B0C4-70DDDECA13A0}">
  <ds:schemaRefs/>
</ds:datastoreItem>
</file>

<file path=customXml/itemProps24.xml><?xml version="1.0" encoding="utf-8"?>
<ds:datastoreItem xmlns:ds="http://schemas.openxmlformats.org/officeDocument/2006/customXml" ds:itemID="{9EE03EA2-F7F5-4309-93DE-14CDB5FAA90A}">
  <ds:schemaRefs/>
</ds:datastoreItem>
</file>

<file path=customXml/itemProps25.xml><?xml version="1.0" encoding="utf-8"?>
<ds:datastoreItem xmlns:ds="http://schemas.openxmlformats.org/officeDocument/2006/customXml" ds:itemID="{564126B1-F3EC-4610-974B-3E5AA44D8CBF}">
  <ds:schemaRefs/>
</ds:datastoreItem>
</file>

<file path=customXml/itemProps26.xml><?xml version="1.0" encoding="utf-8"?>
<ds:datastoreItem xmlns:ds="http://schemas.openxmlformats.org/officeDocument/2006/customXml" ds:itemID="{3A048268-F50E-4F30-BDBF-EC77D0C5A6E7}">
  <ds:schemaRefs/>
</ds:datastoreItem>
</file>

<file path=customXml/itemProps27.xml><?xml version="1.0" encoding="utf-8"?>
<ds:datastoreItem xmlns:ds="http://schemas.openxmlformats.org/officeDocument/2006/customXml" ds:itemID="{DE89C579-5277-4328-8804-A3567040DEA7}">
  <ds:schemaRefs/>
</ds:datastoreItem>
</file>

<file path=customXml/itemProps28.xml><?xml version="1.0" encoding="utf-8"?>
<ds:datastoreItem xmlns:ds="http://schemas.openxmlformats.org/officeDocument/2006/customXml" ds:itemID="{E95424DD-FD9D-4DD2-B68B-38E3B5EECE10}">
  <ds:schemaRefs/>
</ds:datastoreItem>
</file>

<file path=customXml/itemProps29.xml><?xml version="1.0" encoding="utf-8"?>
<ds:datastoreItem xmlns:ds="http://schemas.openxmlformats.org/officeDocument/2006/customXml" ds:itemID="{66CB261D-991A-487D-93B1-B266250DB8C9}">
  <ds:schemaRefs/>
</ds:datastoreItem>
</file>

<file path=customXml/itemProps30.xml><?xml version="1.0" encoding="utf-8"?>
<ds:datastoreItem xmlns:ds="http://schemas.openxmlformats.org/officeDocument/2006/customXml" ds:itemID="{EF20B291-EB4B-4F62-BC6D-E5467E2CB095}">
  <ds:schemaRefs/>
</ds:datastoreItem>
</file>

<file path=customXml/itemProps31.xml><?xml version="1.0" encoding="utf-8"?>
<ds:datastoreItem xmlns:ds="http://schemas.openxmlformats.org/officeDocument/2006/customXml" ds:itemID="{692F331B-4954-4F62-B135-9F9465C279D0}">
  <ds:schemaRefs/>
</ds:datastoreItem>
</file>

<file path=customXml/itemProps32.xml><?xml version="1.0" encoding="utf-8"?>
<ds:datastoreItem xmlns:ds="http://schemas.openxmlformats.org/officeDocument/2006/customXml" ds:itemID="{2EC206AB-01E1-4DD8-ACDE-89959D56A3C6}">
  <ds:schemaRefs/>
</ds:datastoreItem>
</file>

<file path=customXml/itemProps33.xml><?xml version="1.0" encoding="utf-8"?>
<ds:datastoreItem xmlns:ds="http://schemas.openxmlformats.org/officeDocument/2006/customXml" ds:itemID="{89C7940C-9726-4D3F-9892-1D106E2A1812}">
  <ds:schemaRefs/>
</ds:datastoreItem>
</file>

<file path=customXml/itemProps34.xml><?xml version="1.0" encoding="utf-8"?>
<ds:datastoreItem xmlns:ds="http://schemas.openxmlformats.org/officeDocument/2006/customXml" ds:itemID="{FF18EBBE-FDBE-4661-8BA9-ADDC7A37A88A}">
  <ds:schemaRefs/>
</ds:datastoreItem>
</file>

<file path=customXml/itemProps35.xml><?xml version="1.0" encoding="utf-8"?>
<ds:datastoreItem xmlns:ds="http://schemas.openxmlformats.org/officeDocument/2006/customXml" ds:itemID="{ACBC19E5-C33A-4319-940C-12FFE71D20B9}">
  <ds:schemaRefs/>
</ds:datastoreItem>
</file>

<file path=customXml/itemProps36.xml><?xml version="1.0" encoding="utf-8"?>
<ds:datastoreItem xmlns:ds="http://schemas.openxmlformats.org/officeDocument/2006/customXml" ds:itemID="{57F4A8A5-4747-4E41-A046-63FDCF5B5772}">
  <ds:schemaRefs/>
</ds:datastoreItem>
</file>

<file path=customXml/itemProps37.xml><?xml version="1.0" encoding="utf-8"?>
<ds:datastoreItem xmlns:ds="http://schemas.openxmlformats.org/officeDocument/2006/customXml" ds:itemID="{5B0120F4-9DE2-429D-9C7C-9DC032CDE43C}">
  <ds:schemaRefs/>
</ds:datastoreItem>
</file>

<file path=customXml/itemProps38.xml><?xml version="1.0" encoding="utf-8"?>
<ds:datastoreItem xmlns:ds="http://schemas.openxmlformats.org/officeDocument/2006/customXml" ds:itemID="{5DEDC228-9E4D-4146-BFFB-83300A471F24}">
  <ds:schemaRefs/>
</ds:datastoreItem>
</file>

<file path=customXml/itemProps39.xml><?xml version="1.0" encoding="utf-8"?>
<ds:datastoreItem xmlns:ds="http://schemas.openxmlformats.org/officeDocument/2006/customXml" ds:itemID="{FEED5CF3-69C1-4CF5-A309-DC80156E374C}">
  <ds:schemaRefs/>
</ds:datastoreItem>
</file>

<file path=customXml/itemProps40.xml><?xml version="1.0" encoding="utf-8"?>
<ds:datastoreItem xmlns:ds="http://schemas.openxmlformats.org/officeDocument/2006/customXml" ds:itemID="{C04E56AE-9D78-4296-B72A-6DFAC388F6B6}">
  <ds:schemaRefs/>
</ds:datastoreItem>
</file>

<file path=customXml/itemProps41.xml><?xml version="1.0" encoding="utf-8"?>
<ds:datastoreItem xmlns:ds="http://schemas.openxmlformats.org/officeDocument/2006/customXml" ds:itemID="{36931B89-F7A7-4D62-8D38-1B3C0B85A1F5}">
  <ds:schemaRefs/>
</ds:datastoreItem>
</file>

<file path=customXml/itemProps42.xml><?xml version="1.0" encoding="utf-8"?>
<ds:datastoreItem xmlns:ds="http://schemas.openxmlformats.org/officeDocument/2006/customXml" ds:itemID="{D8938719-AE55-475F-B240-282E5E7088A6}">
  <ds:schemaRefs/>
</ds:datastoreItem>
</file>

<file path=customXml/itemProps43.xml><?xml version="1.0" encoding="utf-8"?>
<ds:datastoreItem xmlns:ds="http://schemas.openxmlformats.org/officeDocument/2006/customXml" ds:itemID="{FFCBC4E3-5B77-4CDF-9CD9-19B370840ADC}">
  <ds:schemaRefs/>
</ds:datastoreItem>
</file>

<file path=customXml/itemProps44.xml><?xml version="1.0" encoding="utf-8"?>
<ds:datastoreItem xmlns:ds="http://schemas.openxmlformats.org/officeDocument/2006/customXml" ds:itemID="{116DFD4D-A1A9-4CFD-9C42-245B1CD2245C}">
  <ds:schemaRefs/>
</ds:datastoreItem>
</file>

<file path=customXml/itemProps45.xml><?xml version="1.0" encoding="utf-8"?>
<ds:datastoreItem xmlns:ds="http://schemas.openxmlformats.org/officeDocument/2006/customXml" ds:itemID="{D94A1C28-2DC2-4659-89B1-3C4554AB3FE0}">
  <ds:schemaRefs/>
</ds:datastoreItem>
</file>

<file path=customXml/itemProps46.xml><?xml version="1.0" encoding="utf-8"?>
<ds:datastoreItem xmlns:ds="http://schemas.openxmlformats.org/officeDocument/2006/customXml" ds:itemID="{E4D2449A-FB38-4D05-8B91-8236D1FE6D7F}">
  <ds:schemaRefs/>
</ds:datastoreItem>
</file>

<file path=customXml/itemProps47.xml><?xml version="1.0" encoding="utf-8"?>
<ds:datastoreItem xmlns:ds="http://schemas.openxmlformats.org/officeDocument/2006/customXml" ds:itemID="{6E15DC7C-AB8B-44BF-B21F-1560E8656F37}">
  <ds:schemaRefs/>
</ds:datastoreItem>
</file>

<file path=customXml/itemProps48.xml><?xml version="1.0" encoding="utf-8"?>
<ds:datastoreItem xmlns:ds="http://schemas.openxmlformats.org/officeDocument/2006/customXml" ds:itemID="{E79A2247-55A1-421E-825C-662655BBAB63}">
  <ds:schemaRefs/>
</ds:datastoreItem>
</file>

<file path=customXml/itemProps49.xml><?xml version="1.0" encoding="utf-8"?>
<ds:datastoreItem xmlns:ds="http://schemas.openxmlformats.org/officeDocument/2006/customXml" ds:itemID="{EDD27974-6501-4E22-80D9-592E2A0BE2F8}">
  <ds:schemaRefs/>
</ds:datastoreItem>
</file>

<file path=customXml/itemProps50.xml><?xml version="1.0" encoding="utf-8"?>
<ds:datastoreItem xmlns:ds="http://schemas.openxmlformats.org/officeDocument/2006/customXml" ds:itemID="{90B4E6B6-8A92-41C3-B39A-F6237BE6F6B0}">
  <ds:schemaRefs/>
</ds:datastoreItem>
</file>

<file path=customXml/itemProps51.xml><?xml version="1.0" encoding="utf-8"?>
<ds:datastoreItem xmlns:ds="http://schemas.openxmlformats.org/officeDocument/2006/customXml" ds:itemID="{50F9810E-302A-4BD0-BFE1-E00D7907230A}">
  <ds:schemaRefs/>
</ds:datastoreItem>
</file>

<file path=customXml/itemProps52.xml><?xml version="1.0" encoding="utf-8"?>
<ds:datastoreItem xmlns:ds="http://schemas.openxmlformats.org/officeDocument/2006/customXml" ds:itemID="{4D82928A-6433-4DB7-AAE5-408412ED080D}">
  <ds:schemaRefs/>
</ds:datastoreItem>
</file>

<file path=customXml/itemProps53.xml><?xml version="1.0" encoding="utf-8"?>
<ds:datastoreItem xmlns:ds="http://schemas.openxmlformats.org/officeDocument/2006/customXml" ds:itemID="{54C8F952-0B63-4877-96E5-B4145B8AE872}">
  <ds:schemaRefs/>
</ds:datastoreItem>
</file>

<file path=customXml/itemProps54.xml><?xml version="1.0" encoding="utf-8"?>
<ds:datastoreItem xmlns:ds="http://schemas.openxmlformats.org/officeDocument/2006/customXml" ds:itemID="{6735F1BA-CE79-4FE7-B87B-B120E0E2E797}">
  <ds:schemaRefs/>
</ds:datastoreItem>
</file>

<file path=customXml/itemProps55.xml><?xml version="1.0" encoding="utf-8"?>
<ds:datastoreItem xmlns:ds="http://schemas.openxmlformats.org/officeDocument/2006/customXml" ds:itemID="{02302F8F-A057-425B-8216-4EA2B99FADC6}">
  <ds:schemaRefs/>
</ds:datastoreItem>
</file>

<file path=customXml/itemProps56.xml><?xml version="1.0" encoding="utf-8"?>
<ds:datastoreItem xmlns:ds="http://schemas.openxmlformats.org/officeDocument/2006/customXml" ds:itemID="{161AC5F3-37F4-40ED-8852-716C9FC4B852}">
  <ds:schemaRefs/>
</ds:datastoreItem>
</file>

<file path=customXml/itemProps57.xml><?xml version="1.0" encoding="utf-8"?>
<ds:datastoreItem xmlns:ds="http://schemas.openxmlformats.org/officeDocument/2006/customXml" ds:itemID="{23CE6509-E311-43D3-B505-E65E3227854D}">
  <ds:schemaRefs/>
</ds:datastoreItem>
</file>

<file path=customXml/itemProps58.xml><?xml version="1.0" encoding="utf-8"?>
<ds:datastoreItem xmlns:ds="http://schemas.openxmlformats.org/officeDocument/2006/customXml" ds:itemID="{43545601-D46E-4F9B-80D7-CA78C58C1B2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Q1-2025</vt:lpstr>
      <vt:lpstr>All2</vt:lpstr>
      <vt:lpstr>NOTA</vt:lpstr>
      <vt:lpstr>List ptj T.light</vt:lpstr>
      <vt:lpstr>Kod Program</vt:lpstr>
      <vt:lpstr>data1</vt:lpstr>
      <vt:lpstr>P&amp;L</vt:lpstr>
      <vt:lpstr>BS</vt:lpstr>
      <vt:lpstr>CF</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2026-05-16T06:17:56Z</dcterms:modified>
</cp:coreProperties>
</file>