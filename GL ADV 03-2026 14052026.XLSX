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Dashboard JPKA\"/>
    </mc:Choice>
  </mc:AlternateContent>
  <xr:revisionPtr revIDLastSave="0" documentId="13_ncr:1_{24EC6CF7-FB6F-42AB-96FB-A51F21C91B48}" xr6:coauthVersionLast="47" xr6:coauthVersionMax="47" xr10:uidLastSave="{00000000-0000-0000-0000-000000000000}"/>
  <bookViews>
    <workbookView xWindow="-110" yWindow="-110" windowWidth="19420" windowHeight="11020" activeTab="3" xr2:uid="{00000000-000D-0000-FFFF-FFFF00000000}"/>
  </bookViews>
  <sheets>
    <sheet name="ALL" sheetId="1" r:id="rId1"/>
    <sheet name="PIVOT" sheetId="2" r:id="rId2"/>
    <sheet name="PTJ" sheetId="3" r:id="rId3"/>
    <sheet name="DATA" sheetId="7" r:id="rId4"/>
  </sheets>
  <definedNames>
    <definedName name="_xlnm._FilterDatabase" localSheetId="0" hidden="1">ALL!$A$1:$AI$104</definedName>
    <definedName name="_xlnm._FilterDatabase" localSheetId="3" hidden="1">DATA!$A$1:$G$94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2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C30" i="3"/>
  <c r="D30" i="3"/>
  <c r="E30" i="3"/>
  <c r="F30" i="3"/>
  <c r="AD8" i="3"/>
  <c r="AD7" i="3"/>
  <c r="K7" i="3"/>
  <c r="J7" i="3"/>
  <c r="J15" i="3" s="1"/>
  <c r="L8" i="3"/>
  <c r="K8" i="3"/>
  <c r="D15" i="3"/>
  <c r="E15" i="3"/>
  <c r="F15" i="3"/>
  <c r="G15" i="3"/>
  <c r="H15" i="3"/>
  <c r="I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C15" i="3"/>
  <c r="C6" i="2"/>
  <c r="D6" i="2"/>
  <c r="E6" i="2"/>
  <c r="F6" i="2"/>
  <c r="G6" i="2"/>
  <c r="H6" i="2"/>
  <c r="I6" i="2"/>
  <c r="J6" i="2"/>
  <c r="K6" i="2"/>
  <c r="B6" i="2"/>
  <c r="L7" i="3" l="1"/>
  <c r="L15" i="3" s="1"/>
  <c r="AD15" i="3"/>
  <c r="K15" i="3"/>
</calcChain>
</file>

<file path=xl/sharedStrings.xml><?xml version="1.0" encoding="utf-8"?>
<sst xmlns="http://schemas.openxmlformats.org/spreadsheetml/2006/main" count="3230" uniqueCount="521">
  <si>
    <t/>
  </si>
  <si>
    <t>TD260024</t>
  </si>
  <si>
    <t>20260131</t>
  </si>
  <si>
    <t>510000091</t>
  </si>
  <si>
    <t>RE</t>
  </si>
  <si>
    <t>1</t>
  </si>
  <si>
    <t>2026/01</t>
  </si>
  <si>
    <t>2026</t>
  </si>
  <si>
    <t>81</t>
  </si>
  <si>
    <t>RM</t>
  </si>
  <si>
    <t>NA</t>
  </si>
  <si>
    <t>KWM</t>
  </si>
  <si>
    <t>10150009</t>
  </si>
  <si>
    <t>A72101</t>
  </si>
  <si>
    <t>GENERAL</t>
  </si>
  <si>
    <t>GERAN LTIHAN KMPETENSI KMAHIRAN BELIA &amp; PB 2026-1</t>
  </si>
  <si>
    <t>WF-BATCH</t>
  </si>
  <si>
    <t>TD260002</t>
  </si>
  <si>
    <t>510000095</t>
  </si>
  <si>
    <t>10170003</t>
  </si>
  <si>
    <t>GERAN PGRUSN PEMBGNN PELAN STRATEGIK TVET- 3</t>
  </si>
  <si>
    <t>GERAN PGRUSN STRATEGIK</t>
  </si>
  <si>
    <t>TD260001</t>
  </si>
  <si>
    <t>510000118</t>
  </si>
  <si>
    <t>GERAN PBGNN BHN PGJRN SERTA SOALAN PLKK2025/2026-1</t>
  </si>
  <si>
    <t>TD260031</t>
  </si>
  <si>
    <t>510000129</t>
  </si>
  <si>
    <t>10170004</t>
  </si>
  <si>
    <t>GERAN PMBGN EKOSSTEM KTKR KRJA PMULIHN&amp;PMULIHARN-1</t>
  </si>
  <si>
    <t>GERAN PMULIHN&amp;PMULIHARN-1</t>
  </si>
  <si>
    <t>TD260005</t>
  </si>
  <si>
    <t>510000188</t>
  </si>
  <si>
    <t>10150008</t>
  </si>
  <si>
    <t>GERAN PROSES PNDAFTRN KONTR, SCORE &amp; MCORE - 1</t>
  </si>
  <si>
    <t>PDFTRN KNTR SCORE,MCORE-1</t>
  </si>
  <si>
    <t>TD260141</t>
  </si>
  <si>
    <t>510000228</t>
  </si>
  <si>
    <t>GERAN MODUL PEMBELAJARAN &amp; SET SOALAN SKP 2026 - 1</t>
  </si>
  <si>
    <t>GERAN CIDB HOLDINGS</t>
  </si>
  <si>
    <t>TD260030</t>
  </si>
  <si>
    <t>510000232</t>
  </si>
  <si>
    <t>GERAN KEMASKINI KOD,DESKRIPSI, SYARAT PENDF KONT-1</t>
  </si>
  <si>
    <t>GERAN KPRLUAN PENDF KON-1</t>
  </si>
  <si>
    <t>TD260029</t>
  </si>
  <si>
    <t>510000233</t>
  </si>
  <si>
    <t>GERAN PRGM PSIJILN ANTI-BRIBERY (ABMS) ISO37001-1</t>
  </si>
  <si>
    <t>GERAN ABMS ISO37001-1</t>
  </si>
  <si>
    <t>TD260140</t>
  </si>
  <si>
    <t>510000234</t>
  </si>
  <si>
    <t>GERAN MODUL SCORE BERASASKAN PARAMETER THN 2026-1</t>
  </si>
  <si>
    <t>GERAN MODUL SCORE -1</t>
  </si>
  <si>
    <t>TD260163</t>
  </si>
  <si>
    <t>20260313</t>
  </si>
  <si>
    <t>510000517</t>
  </si>
  <si>
    <t>3</t>
  </si>
  <si>
    <t>2026/03</t>
  </si>
  <si>
    <t>GERAN PGURSAN &amp; PLAKSANAN KNVESNYEN KONT 2026-1</t>
  </si>
  <si>
    <t>GERAN PLASANAN KNVENSYN-1</t>
  </si>
  <si>
    <t>TD260162</t>
  </si>
  <si>
    <t>510000518</t>
  </si>
  <si>
    <t>GERAN PELAKSANAN PRGM TVET SKILLTECHPRENEUR -1</t>
  </si>
  <si>
    <t>GERAN TVET S/TECHPRENUR-1</t>
  </si>
  <si>
    <t>TD260181</t>
  </si>
  <si>
    <t>510000519</t>
  </si>
  <si>
    <t>GERAN TTT &amp; TTA TENAGA PENGAJAR PENILAIN 2026-1</t>
  </si>
  <si>
    <t>GERAN TTT &amp; TTA -1</t>
  </si>
  <si>
    <t>TD260204</t>
  </si>
  <si>
    <t>20260317</t>
  </si>
  <si>
    <t>510000561</t>
  </si>
  <si>
    <t>GERAN PRGM JELAJAH KONTRAKTOR CEKAP+ 2026 -1</t>
  </si>
  <si>
    <t>GRAN JELAJAH KONT CEKAP-1</t>
  </si>
  <si>
    <t>TD260076</t>
  </si>
  <si>
    <t>20260318</t>
  </si>
  <si>
    <t>510000576</t>
  </si>
  <si>
    <t>GERAN ALATAN PEMASANGAN PERANCAH PRGM LKK&amp;PKK - 4</t>
  </si>
  <si>
    <t>TD260108</t>
  </si>
  <si>
    <t>20260331</t>
  </si>
  <si>
    <t>510000633</t>
  </si>
  <si>
    <t>10130007</t>
  </si>
  <si>
    <t>GERAN LAKSANA AKTVT VERIFIKASI BHN BINA JDUAL4-JAN</t>
  </si>
  <si>
    <t>5105644547</t>
  </si>
  <si>
    <t>4500027443</t>
  </si>
  <si>
    <t>600000316</t>
  </si>
  <si>
    <t>SA</t>
  </si>
  <si>
    <t>50</t>
  </si>
  <si>
    <t>PERBEL GERAN AKTVT VERIFIKASI BHN BINA JDUAL4-JAN</t>
  </si>
  <si>
    <t>PERBELANJAAN GERAN CIDBH</t>
  </si>
  <si>
    <t>JHQ2026000210</t>
  </si>
  <si>
    <t>VHQ2026001263</t>
  </si>
  <si>
    <t>4500027159</t>
  </si>
  <si>
    <t>600000501</t>
  </si>
  <si>
    <t>PERBEL GERAN PBGN BHN PGJR SRTA SOAL PLKK25/26 JAN</t>
  </si>
  <si>
    <t>JHQ2026000314</t>
  </si>
  <si>
    <t>600000502</t>
  </si>
  <si>
    <t>2</t>
  </si>
  <si>
    <t>2026/02</t>
  </si>
  <si>
    <t>PERBEL GERAN PBGN BHN PGJR SRTA SOAL PLKK25/26 FEB</t>
  </si>
  <si>
    <t>JHQ2026000315</t>
  </si>
  <si>
    <t>600000503</t>
  </si>
  <si>
    <t>PERBEL GERAN PBGN BHN PGJR SRTA SOAL PLKK25/26 MAC</t>
  </si>
  <si>
    <t>JHQ2026000316</t>
  </si>
  <si>
    <t>VHQ2026001253</t>
  </si>
  <si>
    <t>4500027171</t>
  </si>
  <si>
    <t>600000504</t>
  </si>
  <si>
    <t>PERBEL GERAN EKOSTEM KTKR KRJA PMULIH&amp;PMULIHAR FEB</t>
  </si>
  <si>
    <t>JHQ2026000309</t>
  </si>
  <si>
    <t>600000505</t>
  </si>
  <si>
    <t>PERBEL GERAN EKOSTEM KTKR KRJA PMULIH&amp;PMULIHAR MAC</t>
  </si>
  <si>
    <t>JHQ2026000310</t>
  </si>
  <si>
    <t>VHQ2026001435</t>
  </si>
  <si>
    <t>4500027216</t>
  </si>
  <si>
    <t>600000509</t>
  </si>
  <si>
    <t>PERBEL GERAN 10MODUL PBELAJARN&amp;SET SOAL SKP'26 FEB</t>
  </si>
  <si>
    <t>JHQ2026000311</t>
  </si>
  <si>
    <t>600000510</t>
  </si>
  <si>
    <t>PERBEL GERAN 10MODUL PBELAJARN&amp;SET SOAL SKP'26 MAC</t>
  </si>
  <si>
    <t>JHQ2026000312</t>
  </si>
  <si>
    <t>VHQ2026001480</t>
  </si>
  <si>
    <t>4500027221</t>
  </si>
  <si>
    <t>600000512</t>
  </si>
  <si>
    <t>PERBE GERAN KMSKN KOD,DSKRIPSI,SYRT PENDF KONT MAC</t>
  </si>
  <si>
    <t>JHQ2026000313</t>
  </si>
  <si>
    <t>VHQ2026001487</t>
  </si>
  <si>
    <t>4500027222</t>
  </si>
  <si>
    <t>600000513</t>
  </si>
  <si>
    <t>PERBEL GERAN PSIJILN ANTIBRIBERY(ABMS)ISO37001 MAC</t>
  </si>
  <si>
    <t>JHQ2026000317</t>
  </si>
  <si>
    <t>VHQ2026002153</t>
  </si>
  <si>
    <t>4500027340</t>
  </si>
  <si>
    <t>600000514</t>
  </si>
  <si>
    <t>PERBEL GERAN PGURSAN&amp;PLAKSANA KNVSNYEN KONT26 MAC</t>
  </si>
  <si>
    <t>JHQ2026000318</t>
  </si>
  <si>
    <t>VHQ2026002158</t>
  </si>
  <si>
    <t>4500027341</t>
  </si>
  <si>
    <t>600000515</t>
  </si>
  <si>
    <t>PERBEL GERAN PLAKSANA PRGM TVET SKILLTCHPRNUR FEB</t>
  </si>
  <si>
    <t>JHQ2026000319</t>
  </si>
  <si>
    <t>VHQ2026002292</t>
  </si>
  <si>
    <t>4500027368</t>
  </si>
  <si>
    <t>600000516</t>
  </si>
  <si>
    <t>PERBEL GERAN PRGM JELAJAH KONTRAKTOR CEKAP+26 FEB</t>
  </si>
  <si>
    <t>JHQ2026000320</t>
  </si>
  <si>
    <t>VHQ2026001142</t>
  </si>
  <si>
    <t>4500027120</t>
  </si>
  <si>
    <t>600000565</t>
  </si>
  <si>
    <t>PERBEL LTIHAN KMPETENSI KMAHIRAN BELIA &amp; PB-JAN'26</t>
  </si>
  <si>
    <t>JHQ2026000304</t>
  </si>
  <si>
    <t>600000566</t>
  </si>
  <si>
    <t>PERBEL LTIHAN KMPETENSI KMAHIRAN BELIA &amp; PB-FEB'26</t>
  </si>
  <si>
    <t>JHQ2026000305</t>
  </si>
  <si>
    <t>600000567</t>
  </si>
  <si>
    <t>PERBEL LTIHAN KMPETENSI KMAHIRAN BELIA &amp; PB-MAC'26</t>
  </si>
  <si>
    <t>JHQ2026000330</t>
  </si>
  <si>
    <t>VHQ2026002194</t>
  </si>
  <si>
    <t>4500027375</t>
  </si>
  <si>
    <t>600000568</t>
  </si>
  <si>
    <t>PERBEL GERAN PEMB. PERALATAN, MESIN LKK&amp;PKK-MAC'26</t>
  </si>
  <si>
    <t>JHQ2026000331</t>
  </si>
  <si>
    <t>20260227</t>
  </si>
  <si>
    <t>240005987</t>
  </si>
  <si>
    <t>DR</t>
  </si>
  <si>
    <t>10140007</t>
  </si>
  <si>
    <t>A72102</t>
  </si>
  <si>
    <t>PMLGN BKI GRN BG PENGANJURAN JELAJAH PMBINAAN C4.0</t>
  </si>
  <si>
    <t>GRN JELAJAH PMBINAAN C4.0</t>
  </si>
  <si>
    <t>001264</t>
  </si>
  <si>
    <t>IHQ2026005961</t>
  </si>
  <si>
    <t>92026001</t>
  </si>
  <si>
    <t>510000194</t>
  </si>
  <si>
    <t>GERAN PKHID. MLAKSANAKN PROGRAM LTIHAN BIM 2026-1</t>
  </si>
  <si>
    <t>GERAN CIDB ECONS</t>
  </si>
  <si>
    <t>92026002</t>
  </si>
  <si>
    <t>20260309</t>
  </si>
  <si>
    <t>510000415</t>
  </si>
  <si>
    <t>GERAN PMBGNN BHN MGAJAR &amp; PBELAJAR SOAL BIM25/26-1</t>
  </si>
  <si>
    <t>GERAN KMHRN BIM 25/26-1</t>
  </si>
  <si>
    <t>92026003</t>
  </si>
  <si>
    <t>510000417</t>
  </si>
  <si>
    <t>GERAN OPRSI&amp;SLNGGRA OBJEK 3D BIM BG MYBIM LIB 25-3</t>
  </si>
  <si>
    <t>GERAN PORTAL MYBIM LIB-3</t>
  </si>
  <si>
    <t>92026004</t>
  </si>
  <si>
    <t>510000419</t>
  </si>
  <si>
    <t>GERAN OPERASI &amp; SELENGGARA PORTAL SMART 2025 - 3</t>
  </si>
  <si>
    <t>GERAN PORTAL SMART-3</t>
  </si>
  <si>
    <t>92026006</t>
  </si>
  <si>
    <t>510000420</t>
  </si>
  <si>
    <t>GERAN PEMBGNN SISTEM AI CHECKER PENILAIAN SKKP-1</t>
  </si>
  <si>
    <t>GERAN SIST AI CHECKER -1</t>
  </si>
  <si>
    <t>92026007</t>
  </si>
  <si>
    <t>510000574</t>
  </si>
  <si>
    <t>10120002</t>
  </si>
  <si>
    <t>GERAN PKHIDMATAN PUSAT PEMULIHAN BENCANA(DRC) 26-2</t>
  </si>
  <si>
    <t>92026009</t>
  </si>
  <si>
    <t>20260326</t>
  </si>
  <si>
    <t>510000592</t>
  </si>
  <si>
    <t>GERAN PROGRAM PELAKSANAAN NBES DI DBKK &amp; MBKS - 4</t>
  </si>
  <si>
    <t>GERAN NBES DBKK MBKS -4</t>
  </si>
  <si>
    <t>92026008</t>
  </si>
  <si>
    <t>510000593</t>
  </si>
  <si>
    <t>10140008</t>
  </si>
  <si>
    <t>GERAN OPERASI &amp; SELENGGARA PORTAL CONVINCE CIDB -5</t>
  </si>
  <si>
    <t>GERAN PORTAL CONVINCE -5</t>
  </si>
  <si>
    <t>4500027383</t>
  </si>
  <si>
    <t>600000279</t>
  </si>
  <si>
    <t>PERBEL GERAN OPS&amp;SLNGGARA PORTAL CONVINCE CID</t>
  </si>
  <si>
    <t>PERBELANJAAN GERAN ECONS.</t>
  </si>
  <si>
    <t>JHQ2026000278</t>
  </si>
  <si>
    <t>4500027382</t>
  </si>
  <si>
    <t>600000293</t>
  </si>
  <si>
    <t>PERBEL GERAN PRGM PELAKSANA NBES DBKK&amp;MBKS</t>
  </si>
  <si>
    <t>PERBELANJAAN GERAN ECONS</t>
  </si>
  <si>
    <t>JHQ2026000256</t>
  </si>
  <si>
    <t>VHQ2026001376</t>
  </si>
  <si>
    <t>4500027197</t>
  </si>
  <si>
    <t>600000518</t>
  </si>
  <si>
    <t>PERBEL GERAN MELAKSANA PRGM LTHN BIM2026 JAN</t>
  </si>
  <si>
    <t>JHQ2026000321</t>
  </si>
  <si>
    <t>600000519</t>
  </si>
  <si>
    <t>PERBEL GERAN MELAKSANA PRGM LTHN BIM2026 FEB</t>
  </si>
  <si>
    <t>JHQ2026000322</t>
  </si>
  <si>
    <t>600000522</t>
  </si>
  <si>
    <t>PERBEL GERAN MELAKSANA PRGM LTHN BIM2026 MAC</t>
  </si>
  <si>
    <t>JHQ2026000323</t>
  </si>
  <si>
    <t>VHQ2026002120</t>
  </si>
  <si>
    <t>4500027308</t>
  </si>
  <si>
    <t>600000523</t>
  </si>
  <si>
    <t>NS</t>
  </si>
  <si>
    <t>PERBEL GERAN BHN MGAJAR&amp;BLJR SOAL BIM25/26 JAN-MAC</t>
  </si>
  <si>
    <t>PRBELANJAN GERAN CIDB DIG</t>
  </si>
  <si>
    <t>JHQ2026000345</t>
  </si>
  <si>
    <t>VHQ2026002130</t>
  </si>
  <si>
    <t>4500027316</t>
  </si>
  <si>
    <t>600000526</t>
  </si>
  <si>
    <t>PERBEL GERAN PBGN SIST AI CHECKER PNILAIN SKKP FEB</t>
  </si>
  <si>
    <t>JHQ2026000324</t>
  </si>
  <si>
    <t>600000527</t>
  </si>
  <si>
    <t>PERBEL GERAN PBGN SIST AI CHECKER PNILAIN SKKP MAC</t>
  </si>
  <si>
    <t>JHQ2026000325</t>
  </si>
  <si>
    <t>26010137</t>
  </si>
  <si>
    <t>20260130</t>
  </si>
  <si>
    <t>510000072</t>
  </si>
  <si>
    <t>A72103</t>
  </si>
  <si>
    <t>GERAN 3THN PNERBITAN CIDB CONST.LAW REPORT(CCLR)-3</t>
  </si>
  <si>
    <t>GERAN CCLR THN 2025 - 3</t>
  </si>
  <si>
    <t>26010206</t>
  </si>
  <si>
    <t>510000196</t>
  </si>
  <si>
    <t>GERAN MANUAL PROSEDUR PENTAULIAHAN PRGM SHEQ -1</t>
  </si>
  <si>
    <t>GERAN PRGM SHEQ-1</t>
  </si>
  <si>
    <t>26030020</t>
  </si>
  <si>
    <t>510000589</t>
  </si>
  <si>
    <t>10130002</t>
  </si>
  <si>
    <t>GERAN PGELUARN COA BHN BINA IMPORT JDUA4 AKTA520-1</t>
  </si>
  <si>
    <t>GERAN COA BHN BINA -1</t>
  </si>
  <si>
    <t>26030021</t>
  </si>
  <si>
    <t>510000590</t>
  </si>
  <si>
    <t>GERAN PGELUARN COA BHN BINA IMPORT JDUA4 AKTA520-2</t>
  </si>
  <si>
    <t>GERAN COA BHN BINA -2</t>
  </si>
  <si>
    <t>26030071</t>
  </si>
  <si>
    <t>510000591</t>
  </si>
  <si>
    <t>GERAN GARIS PANDUAN CIS 32:2024 CI IN M'SIA -1</t>
  </si>
  <si>
    <t>GERAN CIS 32:2025 CI-1</t>
  </si>
  <si>
    <t>4500027379</t>
  </si>
  <si>
    <t>600000291</t>
  </si>
  <si>
    <t>PERBEL GERAN COA BHN BINA IMPORT JDUA4 AKTA520-1</t>
  </si>
  <si>
    <t>PERBELANJAAN GERAN CREAM</t>
  </si>
  <si>
    <t>JHQ2026000222</t>
  </si>
  <si>
    <t>4500027380</t>
  </si>
  <si>
    <t>600000292</t>
  </si>
  <si>
    <t>PERBEL GERAN COA BHN BINA IMPORT JDUA4 AKTA520-2</t>
  </si>
  <si>
    <t>JHQ2026000223</t>
  </si>
  <si>
    <t>VHQ2026001353</t>
  </si>
  <si>
    <t>4500027198</t>
  </si>
  <si>
    <t>600000528</t>
  </si>
  <si>
    <t>PERBEL GERAN MANUAL PRSEDUR PTAULIAH PRGM SHEQ FEB</t>
  </si>
  <si>
    <t>JHQ2026000326</t>
  </si>
  <si>
    <t>600000529</t>
  </si>
  <si>
    <t>PERBEL GERAN MANUAL PRSEDUR PTAULIAH PRGM SHEQ MAC</t>
  </si>
  <si>
    <t>JHQ2026000327</t>
  </si>
  <si>
    <t>VHQ2026002478</t>
  </si>
  <si>
    <t>4500027381</t>
  </si>
  <si>
    <t>600000579</t>
  </si>
  <si>
    <t>PERBEL GERAN GARIS PNDN CIS 32:2024 CI IN MSIA MAC</t>
  </si>
  <si>
    <t>JHQ2026000306</t>
  </si>
  <si>
    <t>IV-00002-26</t>
  </si>
  <si>
    <t>20260127</t>
  </si>
  <si>
    <t>510000065</t>
  </si>
  <si>
    <t>A72104</t>
  </si>
  <si>
    <t>GERAN PELAKSANA PRGM REVOLUSI PEMERKASAAN SKKP-1/2</t>
  </si>
  <si>
    <t>VHQ2026001045</t>
  </si>
  <si>
    <t>4500027069</t>
  </si>
  <si>
    <t>600000530</t>
  </si>
  <si>
    <t>PERBEL GERAN PRGM REVOLUSI PEMERKASAAN SKKP JAN</t>
  </si>
  <si>
    <t>PERBELANJAAN GERAN CLAB</t>
  </si>
  <si>
    <t>JHQ2026000328</t>
  </si>
  <si>
    <t>600000531</t>
  </si>
  <si>
    <t>PERBEL GERAN PRGM REVOLUSI PEMERKASAAN SKKP FEB</t>
  </si>
  <si>
    <t>JHQ2026000329</t>
  </si>
  <si>
    <t>600000532</t>
  </si>
  <si>
    <t>PERBEL GERAN PRGM REVOLUSI PEMERKASAAN SKKP MAC</t>
  </si>
  <si>
    <t>JHQ2026000349</t>
  </si>
  <si>
    <t>I0226/80</t>
  </si>
  <si>
    <t>510000235</t>
  </si>
  <si>
    <t>A72201</t>
  </si>
  <si>
    <t>GERAN PERANTISAN INDUSTRI PEMBINAAN THN 2026-1</t>
  </si>
  <si>
    <t>GERAN PERANTISAN 2026-1</t>
  </si>
  <si>
    <t>VHQ2026001482</t>
  </si>
  <si>
    <t>4500027224</t>
  </si>
  <si>
    <t>600000533</t>
  </si>
  <si>
    <t>PERBEL GERAN PERANTISAN IND PEMBINAAN 2026 MAC</t>
  </si>
  <si>
    <t>PERBELANJAAN GERAN ABMSEL</t>
  </si>
  <si>
    <t>JHQ2026000346</t>
  </si>
  <si>
    <t>00040575</t>
  </si>
  <si>
    <t>510000588</t>
  </si>
  <si>
    <t>A72203</t>
  </si>
  <si>
    <t>GERAN MLAKSANAKN PRGRM PERANTISAN IND PBINAAN-1</t>
  </si>
  <si>
    <t>GERAN PERANTISAN UTR-1</t>
  </si>
  <si>
    <t>00031341</t>
  </si>
  <si>
    <t>510000236</t>
  </si>
  <si>
    <t>A72204</t>
  </si>
  <si>
    <t>VHQ2026001481</t>
  </si>
  <si>
    <t>4500027225</t>
  </si>
  <si>
    <t>600000534</t>
  </si>
  <si>
    <t>PERBELANJAAN GERAN ABMTGG</t>
  </si>
  <si>
    <t>JHQ2026000332</t>
  </si>
  <si>
    <t>00026842</t>
  </si>
  <si>
    <t>510000520</t>
  </si>
  <si>
    <t>A72206</t>
  </si>
  <si>
    <t>GERAN PRGM PERANTISAN INDUSTRI PEMBINAAN 2026 -1</t>
  </si>
  <si>
    <t>GERAN PRGM PERANTISAN -1</t>
  </si>
  <si>
    <t>00026844</t>
  </si>
  <si>
    <t>20260327</t>
  </si>
  <si>
    <t>510000604</t>
  </si>
  <si>
    <t>GERAN LWTN KE POLITEKNIK NGRI PONTIANAK (POLNEP)-1</t>
  </si>
  <si>
    <t>GERAN LWTN KE POLNEP-1</t>
  </si>
  <si>
    <t>VHQ2026002131</t>
  </si>
  <si>
    <t>4500027345</t>
  </si>
  <si>
    <t>600000535</t>
  </si>
  <si>
    <t>PERBEL GERAN PERANTISAN IND PEMBINAAN 2026 FEB</t>
  </si>
  <si>
    <t>PERBELANJAAN GERAN ABMSWK</t>
  </si>
  <si>
    <t>JHQ2026000333</t>
  </si>
  <si>
    <t>600000536</t>
  </si>
  <si>
    <t>JHQ2026000334</t>
  </si>
  <si>
    <t>VHQ2026002512</t>
  </si>
  <si>
    <t>4500027386</t>
  </si>
  <si>
    <t>600000538</t>
  </si>
  <si>
    <t>PERBEL GERAN POLITEKNIK NGRI PONTINAK (POLNEP) FEB</t>
  </si>
  <si>
    <t>JHQ2026000308</t>
  </si>
  <si>
    <t>I2026-0005</t>
  </si>
  <si>
    <t>510000071</t>
  </si>
  <si>
    <t>A72207</t>
  </si>
  <si>
    <t>GERAN MELAKSANAKAN PROGRAM LATIHAN IBS 2026 - 1</t>
  </si>
  <si>
    <t>GERAN PROGRAM IBS 2026-1</t>
  </si>
  <si>
    <t>I2026-0001</t>
  </si>
  <si>
    <t>510000117</t>
  </si>
  <si>
    <t>GERAN LABOUR CONSTANT KAEDAH IBS &amp; KONVESIONAL-1</t>
  </si>
  <si>
    <t>GERAN KAEDAH IBS&amp;KONVES-1</t>
  </si>
  <si>
    <t>I2026-0035</t>
  </si>
  <si>
    <t>510000416</t>
  </si>
  <si>
    <t>GERAN PBNGUNN MODULAR ROADMAP 2026-2030 -1</t>
  </si>
  <si>
    <t>GERAN MODULAR ROADMAP-1</t>
  </si>
  <si>
    <t>I2026-055</t>
  </si>
  <si>
    <t>510000513</t>
  </si>
  <si>
    <t>GERAN PRGM FMPRO APPRENTICE (OJT) FM KE UAE -1</t>
  </si>
  <si>
    <t>GERAN FMPRO APPRENTICE -1</t>
  </si>
  <si>
    <t>I2026-056</t>
  </si>
  <si>
    <t>510000515</t>
  </si>
  <si>
    <t>GERAN PMBGNN SOR, SOM &amp; PANDUAN PEROLEHAN FM -1</t>
  </si>
  <si>
    <t>GERAN SOR, SOM &amp; FM -1</t>
  </si>
  <si>
    <t>I2026-037</t>
  </si>
  <si>
    <t>510000516</t>
  </si>
  <si>
    <t>GERAN PENGURUS ACARA INT. FM ENGAGEMENT DAY -1</t>
  </si>
  <si>
    <t>GERAN PENGURS ACARA FM-1</t>
  </si>
  <si>
    <t>I2026-054</t>
  </si>
  <si>
    <t>510000559</t>
  </si>
  <si>
    <t>GERAN PRGM KUMP TENAGA PENGAJAR PMERIKSA 2026-1</t>
  </si>
  <si>
    <t>GERAN TENAGA PENGAJAR-1</t>
  </si>
  <si>
    <t>I2026-043</t>
  </si>
  <si>
    <t>510000560</t>
  </si>
  <si>
    <t>GERAN PELAKSANAAN PODCAST PENGURUSAN FM 2026-1</t>
  </si>
  <si>
    <t>GERAN PODCAST FM 2026-1</t>
  </si>
  <si>
    <t>VHQ2026000951</t>
  </si>
  <si>
    <t>4500027093</t>
  </si>
  <si>
    <t>600000539</t>
  </si>
  <si>
    <t>PERBEL GERAN MELAKSANAKAN PRGM LATIHAN IBS26 JAN</t>
  </si>
  <si>
    <t>PBELANJAAN GERAN CIDBIBS</t>
  </si>
  <si>
    <t>JHQ2026000335</t>
  </si>
  <si>
    <t>600000540</t>
  </si>
  <si>
    <t>PERBEL GERAN MELAKSANAKAN PRGM LATIHAN IBS26 FEB</t>
  </si>
  <si>
    <t>JHQ2026000336</t>
  </si>
  <si>
    <t>600000541</t>
  </si>
  <si>
    <t>PERBEL GERAN MELAKSANAKAN PRGM LATIHAN IBS26 MAC</t>
  </si>
  <si>
    <t>JHQ2026000337</t>
  </si>
  <si>
    <t>VHQ2026001254</t>
  </si>
  <si>
    <t>4500027163</t>
  </si>
  <si>
    <t>600000542</t>
  </si>
  <si>
    <t>PERBEL GERAN LABOUR CONSTANT IBS &amp; KONVESIONAL JAN</t>
  </si>
  <si>
    <t>JHQ2026000338</t>
  </si>
  <si>
    <t>600000543</t>
  </si>
  <si>
    <t>PERBEL GERAN LABOUR CONSTANT IBS &amp; KONVESIONAL FEB</t>
  </si>
  <si>
    <t>JHQ2026000339</t>
  </si>
  <si>
    <t>600000544</t>
  </si>
  <si>
    <t>PERBEL GERAN LABOUR CONSTANT IBS &amp; KONVESIONAL MAC</t>
  </si>
  <si>
    <t>JHQ2026000340</t>
  </si>
  <si>
    <t>VHQ2026002121</t>
  </si>
  <si>
    <t>4500027311</t>
  </si>
  <si>
    <t>600000545</t>
  </si>
  <si>
    <t>PERBEL GERAN PBNGUNN MODULAR ROADMAP 2026-2030 MAC</t>
  </si>
  <si>
    <t>JHQ2026000341</t>
  </si>
  <si>
    <t>VHQ2026002159</t>
  </si>
  <si>
    <t>4500027337</t>
  </si>
  <si>
    <t>600000546</t>
  </si>
  <si>
    <t>PERBEL GERAN PRGM FMPRO APRENTICE (OJT) FM UAE MAC</t>
  </si>
  <si>
    <t>JHQ2026000347</t>
  </si>
  <si>
    <t>VHQ2026002154</t>
  </si>
  <si>
    <t>4500027338</t>
  </si>
  <si>
    <t>600000547</t>
  </si>
  <si>
    <t>PERBEL GERAN PMBGN SOR,SOM&amp;PNDUAN PEROLEHAN FM MAC</t>
  </si>
  <si>
    <t>JHQ2026000342</t>
  </si>
  <si>
    <t>VHQ2026002132</t>
  </si>
  <si>
    <t>4500027339</t>
  </si>
  <si>
    <t>600000548</t>
  </si>
  <si>
    <t>PERBEL GERAN PGURUS ACARA INT.FM ENGAGEMNT DAY MAC</t>
  </si>
  <si>
    <t>JHQ2026000348</t>
  </si>
  <si>
    <t>VHQ2026002293</t>
  </si>
  <si>
    <t>4500027366</t>
  </si>
  <si>
    <t>600000551</t>
  </si>
  <si>
    <t>PERBEL GERAN PRGM KUM TENAGA PGAJAR PMERIKSA26 MAC</t>
  </si>
  <si>
    <t>JHQ2026000343</t>
  </si>
  <si>
    <t>VHQ2026002297</t>
  </si>
  <si>
    <t>4500027367</t>
  </si>
  <si>
    <t>600000553</t>
  </si>
  <si>
    <t>PERBEL GERAN PLAKSANAN PODCAST PGURUSN FM26 MAC</t>
  </si>
  <si>
    <t>JHQ2026000344</t>
  </si>
  <si>
    <t>Entry Date</t>
  </si>
  <si>
    <t>Reference</t>
  </si>
  <si>
    <t>Assignment</t>
  </si>
  <si>
    <t>Document Number</t>
  </si>
  <si>
    <t>Invoice reference</t>
  </si>
  <si>
    <t>Document Type</t>
  </si>
  <si>
    <t>Document Date</t>
  </si>
  <si>
    <t>Posting Date</t>
  </si>
  <si>
    <t>Posting period</t>
  </si>
  <si>
    <t>Year/month</t>
  </si>
  <si>
    <t>Fiscal Year</t>
  </si>
  <si>
    <t>Posting Key</t>
  </si>
  <si>
    <t>Amount in local currency</t>
  </si>
  <si>
    <t>Local Currency</t>
  </si>
  <si>
    <t>Tax Code</t>
  </si>
  <si>
    <t>Clearing Document</t>
  </si>
  <si>
    <t>Clearing date</t>
  </si>
  <si>
    <t>Fund</t>
  </si>
  <si>
    <t>Funds Center</t>
  </si>
  <si>
    <t>Cost Center</t>
  </si>
  <si>
    <t>Profit Center</t>
  </si>
  <si>
    <t>G/L Account</t>
  </si>
  <si>
    <t>WBS element</t>
  </si>
  <si>
    <t>Commitment item</t>
  </si>
  <si>
    <t>Text</t>
  </si>
  <si>
    <t>Document Header Text</t>
  </si>
  <si>
    <t>User Name</t>
  </si>
  <si>
    <t>Ref.key (header) 1</t>
  </si>
  <si>
    <t>Reference Key 3</t>
  </si>
  <si>
    <t>Supplier</t>
  </si>
  <si>
    <t>LEGEND</t>
  </si>
  <si>
    <t>ADV</t>
  </si>
  <si>
    <t>BB</t>
  </si>
  <si>
    <t>BELJ</t>
  </si>
  <si>
    <t>Row Labels</t>
  </si>
  <si>
    <t>Grand Total</t>
  </si>
  <si>
    <t>Column Labels</t>
  </si>
  <si>
    <t>Sum of Amount in local currency</t>
  </si>
  <si>
    <t>A72101 Total</t>
  </si>
  <si>
    <t>A72102 Total</t>
  </si>
  <si>
    <t>A72103 Total</t>
  </si>
  <si>
    <t>A72104 Total</t>
  </si>
  <si>
    <t>A72201 Total</t>
  </si>
  <si>
    <t>A72203 Total</t>
  </si>
  <si>
    <t>A72204 Total</t>
  </si>
  <si>
    <t>A72206 Total</t>
  </si>
  <si>
    <t>A72207 Total</t>
  </si>
  <si>
    <t>BTM</t>
  </si>
  <si>
    <t>BPKB</t>
  </si>
  <si>
    <t>BPT</t>
  </si>
  <si>
    <t>BPS</t>
  </si>
  <si>
    <t>BPKPB</t>
  </si>
  <si>
    <t>BLA</t>
  </si>
  <si>
    <t>BPB</t>
  </si>
  <si>
    <t>BPK</t>
  </si>
  <si>
    <t>PTJ</t>
  </si>
  <si>
    <t xml:space="preserve"> CIDB Holdings Sdn Bhd</t>
  </si>
  <si>
    <t xml:space="preserve"> CIDB E – Construct Services Sdn Bhd</t>
  </si>
  <si>
    <t xml:space="preserve"> CREAM</t>
  </si>
  <si>
    <t xml:space="preserve"> CLAB</t>
  </si>
  <si>
    <t xml:space="preserve"> ABM Selangor Sdn Bhd</t>
  </si>
  <si>
    <t xml:space="preserve"> ABM Johor Sdn Bhd</t>
  </si>
  <si>
    <t xml:space="preserve"> ABM Utara Sdn Bhd</t>
  </si>
  <si>
    <t xml:space="preserve"> ABM Terengganu Sdn Bhd</t>
  </si>
  <si>
    <t xml:space="preserve"> ABM Sabah Sdn Bhd</t>
  </si>
  <si>
    <t xml:space="preserve"> CIDB IBS Sdn Bhd</t>
  </si>
  <si>
    <t xml:space="preserve"> CIDB Technologies Sdn Bhd</t>
  </si>
  <si>
    <t xml:space="preserve"> ABM Sarawak Sdn Bhd</t>
  </si>
  <si>
    <t>NAMA</t>
  </si>
  <si>
    <t>A72202</t>
  </si>
  <si>
    <t>A72205</t>
  </si>
  <si>
    <t>A72209</t>
  </si>
  <si>
    <t>PEMBERIAN</t>
  </si>
  <si>
    <t>PERBELANJAAN</t>
  </si>
  <si>
    <t>BYR BALIK</t>
  </si>
  <si>
    <t>PTJ1</t>
  </si>
  <si>
    <t xml:space="preserve"> ABMJ</t>
  </si>
  <si>
    <t xml:space="preserve"> ABMSbh</t>
  </si>
  <si>
    <t xml:space="preserve"> ABMSel</t>
  </si>
  <si>
    <t xml:space="preserve"> ABMSrwk</t>
  </si>
  <si>
    <t xml:space="preserve"> ABMT</t>
  </si>
  <si>
    <t xml:space="preserve"> CIDB IBS</t>
  </si>
  <si>
    <t xml:space="preserve"> CIDB Tech</t>
  </si>
  <si>
    <t xml:space="preserve"> CIDBeC</t>
  </si>
  <si>
    <t xml:space="preserve"> CIDBH</t>
  </si>
  <si>
    <t xml:space="preserve"> CIDB Digital Sdn Bhd</t>
  </si>
  <si>
    <t xml:space="preserve"> ABMU</t>
  </si>
  <si>
    <t>NAMA1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</si>
</sst>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name val="Arial"/>
    </font>
    <font>
      <sz val="10"/>
      <name val="Arial"/>
    </font>
    <font>
      <sz val="10"/>
      <color theme="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43" fontId="0" fillId="0" borderId="0" xfId="1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43" fontId="3" fillId="0" borderId="0" xfId="1" applyFont="1" applyAlignment="1">
      <alignment vertical="top"/>
    </xf>
    <xf numFmtId="0" fontId="0" fillId="7" borderId="0" xfId="0" applyFill="1" applyAlignment="1">
      <alignment vertical="top"/>
    </xf>
    <xf numFmtId="0" fontId="0" fillId="7" borderId="1" xfId="0" applyFill="1" applyBorder="1" applyAlignment="1">
      <alignment vertical="top"/>
    </xf>
    <xf numFmtId="0" fontId="0" fillId="5" borderId="0" xfId="0" applyFill="1" applyAlignment="1">
      <alignment vertical="top"/>
    </xf>
    <xf numFmtId="43" fontId="0" fillId="7" borderId="0" xfId="1" applyFont="1" applyFill="1" applyAlignment="1">
      <alignment vertical="top"/>
    </xf>
    <xf numFmtId="0" fontId="5" fillId="0" borderId="0" xfId="0" applyFont="1" applyAlignment="1">
      <alignment vertical="top"/>
    </xf>
    <xf numFmtId="43" fontId="3" fillId="6" borderId="0" xfId="1" applyFont="1" applyFill="1" applyAlignment="1">
      <alignment vertical="top"/>
    </xf>
    <xf numFmtId="0" fontId="5" fillId="5" borderId="1" xfId="0" applyFont="1" applyFill="1" applyBorder="1" applyAlignment="1">
      <alignment vertical="top"/>
    </xf>
    <xf numFmtId="0" fontId="2" fillId="0" borderId="0" xfId="0" applyFont="1"/>
    <xf numFmtId="4" fontId="5" fillId="0" borderId="0" xfId="0" applyNumberFormat="1" applyFont="1" applyAlignment="1">
      <alignment horizontal="right" vertical="top"/>
    </xf>
    <xf numFmtId="0" fontId="0" fillId="0" borderId="0" xfId="0" applyNumberFormat="1" applyAlignment="1">
      <alignment vertical="top"/>
    </xf>
    <xf numFmtId="0" fontId="0" fillId="5" borderId="0" xfId="0" applyNumberFormat="1" applyFill="1" applyAlignment="1">
      <alignment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4"/>
  <sheetViews>
    <sheetView topLeftCell="J1" zoomScaleNormal="100" workbookViewId="0">
      <selection activeCell="M1" sqref="M1:P1048576"/>
    </sheetView>
  </sheetViews>
  <sheetFormatPr defaultRowHeight="12.5" x14ac:dyDescent="0.25"/>
  <cols>
    <col min="1" max="1" width="13" bestFit="1" customWidth="1"/>
    <col min="2" max="2" width="15" bestFit="1" customWidth="1"/>
    <col min="3" max="3" width="12" bestFit="1" customWidth="1"/>
    <col min="4" max="4" width="17" bestFit="1" customWidth="1"/>
    <col min="5" max="5" width="11.453125" customWidth="1"/>
    <col min="6" max="6" width="4.26953125" customWidth="1"/>
    <col min="7" max="7" width="15" bestFit="1" customWidth="1"/>
    <col min="8" max="8" width="14" bestFit="1" customWidth="1"/>
    <col min="9" max="9" width="3.36328125" customWidth="1"/>
    <col min="10" max="10" width="12" bestFit="1" customWidth="1"/>
    <col min="11" max="11" width="5.81640625" customWidth="1"/>
    <col min="12" max="12" width="3.90625" customWidth="1"/>
    <col min="13" max="13" width="13" bestFit="1" customWidth="1"/>
    <col min="14" max="14" width="13" customWidth="1"/>
    <col min="15" max="15" width="13.26953125" customWidth="1"/>
    <col min="16" max="16" width="8.1796875" customWidth="1"/>
    <col min="17" max="17" width="13.26953125" customWidth="1"/>
    <col min="18" max="18" width="13" bestFit="1" customWidth="1"/>
    <col min="19" max="19" width="15" bestFit="1" customWidth="1"/>
    <col min="20" max="20" width="44.7265625" style="11" customWidth="1"/>
    <col min="21" max="21" width="23.26953125" style="11" customWidth="1"/>
    <col min="22" max="22" width="5" customWidth="1"/>
    <col min="23" max="23" width="4.81640625" customWidth="1"/>
    <col min="24" max="24" width="19" bestFit="1" customWidth="1"/>
    <col min="25" max="25" width="15" bestFit="1" customWidth="1"/>
    <col min="26" max="26" width="6" bestFit="1" customWidth="1"/>
    <col min="27" max="27" width="13" bestFit="1" customWidth="1"/>
    <col min="28" max="28" width="17" bestFit="1" customWidth="1"/>
    <col min="29" max="29" width="11" bestFit="1" customWidth="1"/>
    <col min="30" max="30" width="20" bestFit="1" customWidth="1"/>
    <col min="31" max="31" width="17" bestFit="1" customWidth="1"/>
    <col min="32" max="32" width="10" bestFit="1" customWidth="1"/>
  </cols>
  <sheetData>
    <row r="1" spans="1:32" ht="23.5" customHeight="1" x14ac:dyDescent="0.25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437</v>
      </c>
      <c r="F1" s="10" t="s">
        <v>438</v>
      </c>
      <c r="G1" s="1" t="s">
        <v>439</v>
      </c>
      <c r="H1" s="1" t="s">
        <v>440</v>
      </c>
      <c r="I1" s="10" t="s">
        <v>441</v>
      </c>
      <c r="J1" s="1" t="s">
        <v>442</v>
      </c>
      <c r="K1" s="1" t="s">
        <v>443</v>
      </c>
      <c r="L1" s="1" t="s">
        <v>444</v>
      </c>
      <c r="M1" s="14" t="s">
        <v>445</v>
      </c>
      <c r="N1" s="14" t="s">
        <v>463</v>
      </c>
      <c r="O1" s="15" t="s">
        <v>451</v>
      </c>
      <c r="P1" s="15" t="s">
        <v>454</v>
      </c>
      <c r="Q1" s="21" t="s">
        <v>451</v>
      </c>
      <c r="R1" s="1" t="s">
        <v>452</v>
      </c>
      <c r="S1" s="1" t="s">
        <v>453</v>
      </c>
      <c r="T1" s="10" t="s">
        <v>457</v>
      </c>
      <c r="U1" s="10" t="s">
        <v>458</v>
      </c>
      <c r="V1" s="10" t="s">
        <v>446</v>
      </c>
      <c r="W1" s="1" t="s">
        <v>447</v>
      </c>
      <c r="X1" s="1" t="s">
        <v>448</v>
      </c>
      <c r="Y1" s="1" t="s">
        <v>449</v>
      </c>
      <c r="Z1" s="1" t="s">
        <v>450</v>
      </c>
      <c r="AA1" s="1" t="s">
        <v>455</v>
      </c>
      <c r="AB1" s="1" t="s">
        <v>456</v>
      </c>
      <c r="AC1" s="1" t="s">
        <v>459</v>
      </c>
      <c r="AD1" s="1" t="s">
        <v>460</v>
      </c>
      <c r="AE1" s="1" t="s">
        <v>461</v>
      </c>
      <c r="AF1" s="1" t="s">
        <v>462</v>
      </c>
    </row>
    <row r="2" spans="1:32" ht="25" x14ac:dyDescent="0.25">
      <c r="A2" s="2">
        <v>46057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s="2">
        <v>46044</v>
      </c>
      <c r="H2" s="2">
        <v>46053</v>
      </c>
      <c r="I2" t="s">
        <v>5</v>
      </c>
      <c r="J2" t="s">
        <v>6</v>
      </c>
      <c r="K2" t="s">
        <v>7</v>
      </c>
      <c r="L2" t="s">
        <v>8</v>
      </c>
      <c r="M2" s="3">
        <v>15255000</v>
      </c>
      <c r="N2" s="3" t="s">
        <v>464</v>
      </c>
      <c r="O2" t="s">
        <v>12</v>
      </c>
      <c r="P2" t="s">
        <v>13</v>
      </c>
      <c r="Q2" t="s">
        <v>12</v>
      </c>
      <c r="R2" t="s">
        <v>12</v>
      </c>
      <c r="S2" t="s">
        <v>12</v>
      </c>
      <c r="T2" s="11" t="s">
        <v>15</v>
      </c>
      <c r="U2" s="11" t="s">
        <v>0</v>
      </c>
      <c r="V2" t="s">
        <v>9</v>
      </c>
      <c r="W2" t="s">
        <v>10</v>
      </c>
      <c r="X2" t="s">
        <v>0</v>
      </c>
      <c r="Y2" s="2"/>
      <c r="Z2" t="s">
        <v>11</v>
      </c>
      <c r="AA2" t="s">
        <v>0</v>
      </c>
      <c r="AB2" t="s">
        <v>14</v>
      </c>
      <c r="AC2" t="s">
        <v>16</v>
      </c>
      <c r="AD2" t="s">
        <v>0</v>
      </c>
      <c r="AE2" t="s">
        <v>0</v>
      </c>
      <c r="AF2" t="s">
        <v>0</v>
      </c>
    </row>
    <row r="3" spans="1:32" ht="25" x14ac:dyDescent="0.25">
      <c r="A3" s="2">
        <v>46057</v>
      </c>
      <c r="B3" t="s">
        <v>17</v>
      </c>
      <c r="C3" t="s">
        <v>2</v>
      </c>
      <c r="D3" t="s">
        <v>18</v>
      </c>
      <c r="E3" t="s">
        <v>18</v>
      </c>
      <c r="F3" t="s">
        <v>4</v>
      </c>
      <c r="G3" s="2">
        <v>46029</v>
      </c>
      <c r="H3" s="2">
        <v>46053</v>
      </c>
      <c r="I3" t="s">
        <v>5</v>
      </c>
      <c r="J3" t="s">
        <v>6</v>
      </c>
      <c r="K3" t="s">
        <v>7</v>
      </c>
      <c r="L3" t="s">
        <v>8</v>
      </c>
      <c r="M3" s="3">
        <v>720000</v>
      </c>
      <c r="N3" s="3" t="s">
        <v>464</v>
      </c>
      <c r="O3" t="s">
        <v>19</v>
      </c>
      <c r="P3" t="s">
        <v>13</v>
      </c>
      <c r="Q3" t="s">
        <v>19</v>
      </c>
      <c r="R3" t="s">
        <v>19</v>
      </c>
      <c r="S3" t="s">
        <v>19</v>
      </c>
      <c r="T3" s="11" t="s">
        <v>20</v>
      </c>
      <c r="U3" s="11" t="s">
        <v>21</v>
      </c>
      <c r="V3" t="s">
        <v>9</v>
      </c>
      <c r="W3" t="s">
        <v>10</v>
      </c>
      <c r="X3" t="s">
        <v>0</v>
      </c>
      <c r="Y3" s="2"/>
      <c r="Z3" t="s">
        <v>11</v>
      </c>
      <c r="AA3" t="s">
        <v>0</v>
      </c>
      <c r="AB3" t="s">
        <v>14</v>
      </c>
      <c r="AC3" t="s">
        <v>16</v>
      </c>
      <c r="AD3" t="s">
        <v>0</v>
      </c>
      <c r="AE3" t="s">
        <v>0</v>
      </c>
      <c r="AF3" t="s">
        <v>0</v>
      </c>
    </row>
    <row r="4" spans="1:32" ht="25" x14ac:dyDescent="0.25">
      <c r="A4" s="2">
        <v>46065</v>
      </c>
      <c r="B4" t="s">
        <v>22</v>
      </c>
      <c r="C4" t="s">
        <v>2</v>
      </c>
      <c r="D4" t="s">
        <v>23</v>
      </c>
      <c r="E4" t="s">
        <v>23</v>
      </c>
      <c r="F4" t="s">
        <v>4</v>
      </c>
      <c r="G4" s="2">
        <v>46027</v>
      </c>
      <c r="H4" s="2">
        <v>46053</v>
      </c>
      <c r="I4" t="s">
        <v>5</v>
      </c>
      <c r="J4" t="s">
        <v>6</v>
      </c>
      <c r="K4" t="s">
        <v>7</v>
      </c>
      <c r="L4" t="s">
        <v>8</v>
      </c>
      <c r="M4" s="3">
        <v>1900000</v>
      </c>
      <c r="N4" s="3" t="s">
        <v>464</v>
      </c>
      <c r="O4" t="s">
        <v>19</v>
      </c>
      <c r="P4" t="s">
        <v>13</v>
      </c>
      <c r="Q4" t="s">
        <v>19</v>
      </c>
      <c r="R4" t="s">
        <v>19</v>
      </c>
      <c r="S4" t="s">
        <v>19</v>
      </c>
      <c r="T4" s="11" t="s">
        <v>24</v>
      </c>
      <c r="U4" s="11" t="s">
        <v>0</v>
      </c>
      <c r="V4" t="s">
        <v>9</v>
      </c>
      <c r="W4" t="s">
        <v>10</v>
      </c>
      <c r="X4" t="s">
        <v>0</v>
      </c>
      <c r="Y4" s="2"/>
      <c r="Z4" t="s">
        <v>11</v>
      </c>
      <c r="AA4" t="s">
        <v>0</v>
      </c>
      <c r="AB4" t="s">
        <v>14</v>
      </c>
      <c r="AC4" t="s">
        <v>16</v>
      </c>
      <c r="AD4" t="s">
        <v>0</v>
      </c>
      <c r="AE4" t="s">
        <v>0</v>
      </c>
      <c r="AF4" t="s">
        <v>0</v>
      </c>
    </row>
    <row r="5" spans="1:32" ht="25" x14ac:dyDescent="0.25">
      <c r="A5" s="2">
        <v>46065</v>
      </c>
      <c r="B5" t="s">
        <v>25</v>
      </c>
      <c r="C5" t="s">
        <v>2</v>
      </c>
      <c r="D5" t="s">
        <v>26</v>
      </c>
      <c r="E5" t="s">
        <v>26</v>
      </c>
      <c r="F5" t="s">
        <v>4</v>
      </c>
      <c r="G5" s="2">
        <v>46049</v>
      </c>
      <c r="H5" s="2">
        <v>46053</v>
      </c>
      <c r="I5" t="s">
        <v>5</v>
      </c>
      <c r="J5" t="s">
        <v>6</v>
      </c>
      <c r="K5" t="s">
        <v>7</v>
      </c>
      <c r="L5" t="s">
        <v>8</v>
      </c>
      <c r="M5" s="3">
        <v>150000</v>
      </c>
      <c r="N5" s="3" t="s">
        <v>464</v>
      </c>
      <c r="O5" t="s">
        <v>27</v>
      </c>
      <c r="P5" t="s">
        <v>13</v>
      </c>
      <c r="Q5" t="s">
        <v>27</v>
      </c>
      <c r="R5" t="s">
        <v>27</v>
      </c>
      <c r="S5" t="s">
        <v>27</v>
      </c>
      <c r="T5" s="11" t="s">
        <v>28</v>
      </c>
      <c r="U5" s="11" t="s">
        <v>29</v>
      </c>
      <c r="V5" t="s">
        <v>9</v>
      </c>
      <c r="W5" t="s">
        <v>10</v>
      </c>
      <c r="X5" t="s">
        <v>0</v>
      </c>
      <c r="Y5" s="2"/>
      <c r="Z5" t="s">
        <v>11</v>
      </c>
      <c r="AA5" t="s">
        <v>0</v>
      </c>
      <c r="AB5" t="s">
        <v>14</v>
      </c>
      <c r="AC5" t="s">
        <v>16</v>
      </c>
      <c r="AD5" t="s">
        <v>0</v>
      </c>
      <c r="AE5" t="s">
        <v>0</v>
      </c>
      <c r="AF5" t="s">
        <v>0</v>
      </c>
    </row>
    <row r="6" spans="1:32" ht="25" x14ac:dyDescent="0.25">
      <c r="A6" s="2">
        <v>46073</v>
      </c>
      <c r="B6" t="s">
        <v>30</v>
      </c>
      <c r="C6" t="s">
        <v>2</v>
      </c>
      <c r="D6" t="s">
        <v>31</v>
      </c>
      <c r="E6" t="s">
        <v>31</v>
      </c>
      <c r="F6" t="s">
        <v>4</v>
      </c>
      <c r="G6" s="2">
        <v>46036</v>
      </c>
      <c r="H6" s="2">
        <v>46053</v>
      </c>
      <c r="I6" t="s">
        <v>5</v>
      </c>
      <c r="J6" t="s">
        <v>6</v>
      </c>
      <c r="K6" t="s">
        <v>7</v>
      </c>
      <c r="L6" t="s">
        <v>8</v>
      </c>
      <c r="M6" s="3">
        <v>370000</v>
      </c>
      <c r="N6" s="3" t="s">
        <v>464</v>
      </c>
      <c r="O6" t="s">
        <v>32</v>
      </c>
      <c r="P6" t="s">
        <v>13</v>
      </c>
      <c r="Q6" t="s">
        <v>32</v>
      </c>
      <c r="R6" t="s">
        <v>32</v>
      </c>
      <c r="S6" t="s">
        <v>32</v>
      </c>
      <c r="T6" s="11" t="s">
        <v>33</v>
      </c>
      <c r="U6" s="11" t="s">
        <v>34</v>
      </c>
      <c r="V6" t="s">
        <v>9</v>
      </c>
      <c r="W6" t="s">
        <v>10</v>
      </c>
      <c r="X6" t="s">
        <v>0</v>
      </c>
      <c r="Y6" s="2"/>
      <c r="Z6" t="s">
        <v>11</v>
      </c>
      <c r="AA6" t="s">
        <v>0</v>
      </c>
      <c r="AB6" t="s">
        <v>14</v>
      </c>
      <c r="AC6" t="s">
        <v>16</v>
      </c>
      <c r="AD6" t="s">
        <v>0</v>
      </c>
      <c r="AE6" t="s">
        <v>0</v>
      </c>
      <c r="AF6" t="s">
        <v>0</v>
      </c>
    </row>
    <row r="7" spans="1:32" ht="25" x14ac:dyDescent="0.25">
      <c r="A7" s="2">
        <v>46077</v>
      </c>
      <c r="B7" t="s">
        <v>35</v>
      </c>
      <c r="C7" t="s">
        <v>2</v>
      </c>
      <c r="D7" t="s">
        <v>36</v>
      </c>
      <c r="E7" t="s">
        <v>36</v>
      </c>
      <c r="F7" t="s">
        <v>4</v>
      </c>
      <c r="G7" s="2">
        <v>46066</v>
      </c>
      <c r="H7" s="2">
        <v>46053</v>
      </c>
      <c r="I7" t="s">
        <v>5</v>
      </c>
      <c r="J7" t="s">
        <v>6</v>
      </c>
      <c r="K7" t="s">
        <v>7</v>
      </c>
      <c r="L7" t="s">
        <v>8</v>
      </c>
      <c r="M7" s="3">
        <v>700000</v>
      </c>
      <c r="N7" s="3" t="s">
        <v>464</v>
      </c>
      <c r="O7" t="s">
        <v>27</v>
      </c>
      <c r="P7" t="s">
        <v>13</v>
      </c>
      <c r="Q7" t="s">
        <v>27</v>
      </c>
      <c r="R7" t="s">
        <v>27</v>
      </c>
      <c r="S7" t="s">
        <v>27</v>
      </c>
      <c r="T7" s="11" t="s">
        <v>37</v>
      </c>
      <c r="U7" s="11" t="s">
        <v>38</v>
      </c>
      <c r="V7" t="s">
        <v>9</v>
      </c>
      <c r="W7" t="s">
        <v>10</v>
      </c>
      <c r="X7" t="s">
        <v>0</v>
      </c>
      <c r="Y7" s="2"/>
      <c r="Z7" t="s">
        <v>11</v>
      </c>
      <c r="AA7" t="s">
        <v>0</v>
      </c>
      <c r="AB7" t="s">
        <v>14</v>
      </c>
      <c r="AC7" t="s">
        <v>16</v>
      </c>
      <c r="AD7" t="s">
        <v>0</v>
      </c>
      <c r="AE7" t="s">
        <v>0</v>
      </c>
      <c r="AF7" t="s">
        <v>0</v>
      </c>
    </row>
    <row r="8" spans="1:32" ht="25" x14ac:dyDescent="0.25">
      <c r="A8" s="2">
        <v>46077</v>
      </c>
      <c r="B8" t="s">
        <v>39</v>
      </c>
      <c r="C8" t="s">
        <v>2</v>
      </c>
      <c r="D8" t="s">
        <v>40</v>
      </c>
      <c r="E8" t="s">
        <v>40</v>
      </c>
      <c r="F8" t="s">
        <v>4</v>
      </c>
      <c r="G8" s="2">
        <v>46049</v>
      </c>
      <c r="H8" s="2">
        <v>46053</v>
      </c>
      <c r="I8" t="s">
        <v>5</v>
      </c>
      <c r="J8" t="s">
        <v>6</v>
      </c>
      <c r="K8" t="s">
        <v>7</v>
      </c>
      <c r="L8" t="s">
        <v>8</v>
      </c>
      <c r="M8" s="3">
        <v>60000</v>
      </c>
      <c r="N8" s="3" t="s">
        <v>464</v>
      </c>
      <c r="O8" t="s">
        <v>27</v>
      </c>
      <c r="P8" t="s">
        <v>13</v>
      </c>
      <c r="Q8" t="s">
        <v>27</v>
      </c>
      <c r="R8" t="s">
        <v>27</v>
      </c>
      <c r="S8" t="s">
        <v>27</v>
      </c>
      <c r="T8" s="11" t="s">
        <v>41</v>
      </c>
      <c r="U8" s="11" t="s">
        <v>42</v>
      </c>
      <c r="V8" t="s">
        <v>9</v>
      </c>
      <c r="W8" t="s">
        <v>10</v>
      </c>
      <c r="X8" t="s">
        <v>0</v>
      </c>
      <c r="Y8" s="2"/>
      <c r="Z8" t="s">
        <v>11</v>
      </c>
      <c r="AA8" t="s">
        <v>0</v>
      </c>
      <c r="AB8" t="s">
        <v>14</v>
      </c>
      <c r="AC8" t="s">
        <v>16</v>
      </c>
      <c r="AD8" t="s">
        <v>0</v>
      </c>
      <c r="AE8" t="s">
        <v>0</v>
      </c>
      <c r="AF8" t="s">
        <v>0</v>
      </c>
    </row>
    <row r="9" spans="1:32" ht="25" x14ac:dyDescent="0.25">
      <c r="A9" s="2">
        <v>46077</v>
      </c>
      <c r="B9" t="s">
        <v>43</v>
      </c>
      <c r="C9" t="s">
        <v>2</v>
      </c>
      <c r="D9" t="s">
        <v>44</v>
      </c>
      <c r="E9" t="s">
        <v>44</v>
      </c>
      <c r="F9" t="s">
        <v>4</v>
      </c>
      <c r="G9" s="2">
        <v>46049</v>
      </c>
      <c r="H9" s="2">
        <v>46053</v>
      </c>
      <c r="I9" t="s">
        <v>5</v>
      </c>
      <c r="J9" t="s">
        <v>6</v>
      </c>
      <c r="K9" t="s">
        <v>7</v>
      </c>
      <c r="L9" t="s">
        <v>8</v>
      </c>
      <c r="M9" s="3">
        <v>80000</v>
      </c>
      <c r="N9" s="3" t="s">
        <v>464</v>
      </c>
      <c r="O9" t="s">
        <v>27</v>
      </c>
      <c r="P9" t="s">
        <v>13</v>
      </c>
      <c r="Q9" t="s">
        <v>27</v>
      </c>
      <c r="R9" t="s">
        <v>27</v>
      </c>
      <c r="S9" t="s">
        <v>27</v>
      </c>
      <c r="T9" s="11" t="s">
        <v>45</v>
      </c>
      <c r="U9" s="11" t="s">
        <v>46</v>
      </c>
      <c r="V9" t="s">
        <v>9</v>
      </c>
      <c r="W9" t="s">
        <v>10</v>
      </c>
      <c r="X9" t="s">
        <v>0</v>
      </c>
      <c r="Y9" s="2"/>
      <c r="Z9" t="s">
        <v>11</v>
      </c>
      <c r="AA9" t="s">
        <v>0</v>
      </c>
      <c r="AB9" t="s">
        <v>14</v>
      </c>
      <c r="AC9" t="s">
        <v>16</v>
      </c>
      <c r="AD9" t="s">
        <v>0</v>
      </c>
      <c r="AE9" t="s">
        <v>0</v>
      </c>
      <c r="AF9" t="s">
        <v>0</v>
      </c>
    </row>
    <row r="10" spans="1:32" ht="25" x14ac:dyDescent="0.25">
      <c r="A10" s="2">
        <v>46077</v>
      </c>
      <c r="B10" t="s">
        <v>47</v>
      </c>
      <c r="C10" t="s">
        <v>2</v>
      </c>
      <c r="D10" t="s">
        <v>48</v>
      </c>
      <c r="E10" t="s">
        <v>48</v>
      </c>
      <c r="F10" t="s">
        <v>4</v>
      </c>
      <c r="G10" s="2">
        <v>46066</v>
      </c>
      <c r="H10" s="2">
        <v>46053</v>
      </c>
      <c r="I10" t="s">
        <v>5</v>
      </c>
      <c r="J10" t="s">
        <v>6</v>
      </c>
      <c r="K10" t="s">
        <v>7</v>
      </c>
      <c r="L10" t="s">
        <v>8</v>
      </c>
      <c r="M10" s="3">
        <v>175000</v>
      </c>
      <c r="N10" s="3" t="s">
        <v>464</v>
      </c>
      <c r="O10" t="s">
        <v>27</v>
      </c>
      <c r="P10" t="s">
        <v>13</v>
      </c>
      <c r="Q10" t="s">
        <v>27</v>
      </c>
      <c r="R10" t="s">
        <v>27</v>
      </c>
      <c r="S10" t="s">
        <v>27</v>
      </c>
      <c r="T10" s="11" t="s">
        <v>49</v>
      </c>
      <c r="U10" s="11" t="s">
        <v>50</v>
      </c>
      <c r="V10" t="s">
        <v>9</v>
      </c>
      <c r="W10" t="s">
        <v>10</v>
      </c>
      <c r="X10" t="s">
        <v>0</v>
      </c>
      <c r="Y10" s="2"/>
      <c r="Z10" t="s">
        <v>11</v>
      </c>
      <c r="AA10" t="s">
        <v>0</v>
      </c>
      <c r="AB10" t="s">
        <v>14</v>
      </c>
      <c r="AC10" t="s">
        <v>16</v>
      </c>
      <c r="AD10" t="s">
        <v>0</v>
      </c>
      <c r="AE10" t="s">
        <v>0</v>
      </c>
      <c r="AF10" t="s">
        <v>0</v>
      </c>
    </row>
    <row r="11" spans="1:32" ht="25" x14ac:dyDescent="0.25">
      <c r="A11" s="2">
        <v>46098</v>
      </c>
      <c r="B11" t="s">
        <v>51</v>
      </c>
      <c r="C11" t="s">
        <v>52</v>
      </c>
      <c r="D11" t="s">
        <v>53</v>
      </c>
      <c r="E11" t="s">
        <v>53</v>
      </c>
      <c r="F11" t="s">
        <v>4</v>
      </c>
      <c r="G11" s="2">
        <v>46072</v>
      </c>
      <c r="H11" s="2">
        <v>46094</v>
      </c>
      <c r="I11" t="s">
        <v>54</v>
      </c>
      <c r="J11" t="s">
        <v>55</v>
      </c>
      <c r="K11" t="s">
        <v>7</v>
      </c>
      <c r="L11" t="s">
        <v>8</v>
      </c>
      <c r="M11" s="3">
        <v>116000</v>
      </c>
      <c r="N11" s="3" t="s">
        <v>464</v>
      </c>
      <c r="O11" t="s">
        <v>27</v>
      </c>
      <c r="P11" t="s">
        <v>13</v>
      </c>
      <c r="Q11" t="s">
        <v>27</v>
      </c>
      <c r="R11" t="s">
        <v>27</v>
      </c>
      <c r="S11" t="s">
        <v>27</v>
      </c>
      <c r="T11" s="11" t="s">
        <v>56</v>
      </c>
      <c r="U11" s="11" t="s">
        <v>57</v>
      </c>
      <c r="V11" t="s">
        <v>9</v>
      </c>
      <c r="W11" t="s">
        <v>10</v>
      </c>
      <c r="X11" t="s">
        <v>0</v>
      </c>
      <c r="Y11" s="2"/>
      <c r="Z11" t="s">
        <v>11</v>
      </c>
      <c r="AA11" t="s">
        <v>0</v>
      </c>
      <c r="AB11" t="s">
        <v>14</v>
      </c>
      <c r="AC11" t="s">
        <v>16</v>
      </c>
      <c r="AD11" t="s">
        <v>0</v>
      </c>
      <c r="AE11" t="s">
        <v>0</v>
      </c>
      <c r="AF11" t="s">
        <v>0</v>
      </c>
    </row>
    <row r="12" spans="1:32" ht="25" x14ac:dyDescent="0.25">
      <c r="A12" s="2">
        <v>46098</v>
      </c>
      <c r="B12" t="s">
        <v>58</v>
      </c>
      <c r="C12" t="s">
        <v>52</v>
      </c>
      <c r="D12" t="s">
        <v>59</v>
      </c>
      <c r="E12" t="s">
        <v>59</v>
      </c>
      <c r="F12" t="s">
        <v>4</v>
      </c>
      <c r="G12" s="2">
        <v>46072</v>
      </c>
      <c r="H12" s="2">
        <v>46094</v>
      </c>
      <c r="I12" t="s">
        <v>54</v>
      </c>
      <c r="J12" t="s">
        <v>55</v>
      </c>
      <c r="K12" t="s">
        <v>7</v>
      </c>
      <c r="L12" t="s">
        <v>8</v>
      </c>
      <c r="M12" s="3">
        <v>380000</v>
      </c>
      <c r="N12" s="3" t="s">
        <v>464</v>
      </c>
      <c r="O12" t="s">
        <v>27</v>
      </c>
      <c r="P12" t="s">
        <v>13</v>
      </c>
      <c r="Q12" t="s">
        <v>27</v>
      </c>
      <c r="R12" t="s">
        <v>27</v>
      </c>
      <c r="S12" t="s">
        <v>27</v>
      </c>
      <c r="T12" s="11" t="s">
        <v>60</v>
      </c>
      <c r="U12" s="11" t="s">
        <v>61</v>
      </c>
      <c r="V12" t="s">
        <v>9</v>
      </c>
      <c r="W12" t="s">
        <v>10</v>
      </c>
      <c r="X12" t="s">
        <v>0</v>
      </c>
      <c r="Y12" s="2"/>
      <c r="Z12" t="s">
        <v>11</v>
      </c>
      <c r="AA12" t="s">
        <v>0</v>
      </c>
      <c r="AB12" t="s">
        <v>14</v>
      </c>
      <c r="AC12" t="s">
        <v>16</v>
      </c>
      <c r="AD12" t="s">
        <v>0</v>
      </c>
      <c r="AE12" t="s">
        <v>0</v>
      </c>
      <c r="AF12" t="s">
        <v>0</v>
      </c>
    </row>
    <row r="13" spans="1:32" ht="25" x14ac:dyDescent="0.25">
      <c r="A13" s="2">
        <v>46098</v>
      </c>
      <c r="B13" t="s">
        <v>62</v>
      </c>
      <c r="C13" t="s">
        <v>52</v>
      </c>
      <c r="D13" t="s">
        <v>63</v>
      </c>
      <c r="E13" t="s">
        <v>63</v>
      </c>
      <c r="F13" t="s">
        <v>4</v>
      </c>
      <c r="G13" s="2">
        <v>46080</v>
      </c>
      <c r="H13" s="2">
        <v>46094</v>
      </c>
      <c r="I13" t="s">
        <v>54</v>
      </c>
      <c r="J13" t="s">
        <v>55</v>
      </c>
      <c r="K13" t="s">
        <v>7</v>
      </c>
      <c r="L13" t="s">
        <v>8</v>
      </c>
      <c r="M13" s="3">
        <v>238000</v>
      </c>
      <c r="N13" s="3" t="s">
        <v>464</v>
      </c>
      <c r="O13" t="s">
        <v>19</v>
      </c>
      <c r="P13" t="s">
        <v>13</v>
      </c>
      <c r="Q13" t="s">
        <v>19</v>
      </c>
      <c r="R13" t="s">
        <v>19</v>
      </c>
      <c r="S13" t="s">
        <v>19</v>
      </c>
      <c r="T13" s="11" t="s">
        <v>64</v>
      </c>
      <c r="U13" s="11" t="s">
        <v>65</v>
      </c>
      <c r="V13" t="s">
        <v>9</v>
      </c>
      <c r="W13" t="s">
        <v>10</v>
      </c>
      <c r="X13" t="s">
        <v>0</v>
      </c>
      <c r="Y13" s="2"/>
      <c r="Z13" t="s">
        <v>11</v>
      </c>
      <c r="AA13" t="s">
        <v>0</v>
      </c>
      <c r="AB13" t="s">
        <v>14</v>
      </c>
      <c r="AC13" t="s">
        <v>16</v>
      </c>
      <c r="AD13" t="s">
        <v>0</v>
      </c>
      <c r="AE13" t="s">
        <v>0</v>
      </c>
      <c r="AF13" t="s">
        <v>0</v>
      </c>
    </row>
    <row r="14" spans="1:32" ht="25" x14ac:dyDescent="0.25">
      <c r="A14" s="2">
        <v>46107</v>
      </c>
      <c r="B14" t="s">
        <v>66</v>
      </c>
      <c r="C14" t="s">
        <v>67</v>
      </c>
      <c r="D14" t="s">
        <v>68</v>
      </c>
      <c r="E14" t="s">
        <v>68</v>
      </c>
      <c r="F14" t="s">
        <v>4</v>
      </c>
      <c r="G14" s="2">
        <v>46080</v>
      </c>
      <c r="H14" s="2">
        <v>46098</v>
      </c>
      <c r="I14" t="s">
        <v>54</v>
      </c>
      <c r="J14" t="s">
        <v>55</v>
      </c>
      <c r="K14" t="s">
        <v>7</v>
      </c>
      <c r="L14" t="s">
        <v>8</v>
      </c>
      <c r="M14" s="3">
        <v>380000</v>
      </c>
      <c r="N14" s="3" t="s">
        <v>464</v>
      </c>
      <c r="O14" t="s">
        <v>27</v>
      </c>
      <c r="P14" t="s">
        <v>13</v>
      </c>
      <c r="Q14" t="s">
        <v>27</v>
      </c>
      <c r="R14" t="s">
        <v>27</v>
      </c>
      <c r="S14" t="s">
        <v>27</v>
      </c>
      <c r="T14" s="11" t="s">
        <v>69</v>
      </c>
      <c r="U14" s="11" t="s">
        <v>70</v>
      </c>
      <c r="V14" t="s">
        <v>9</v>
      </c>
      <c r="W14" t="s">
        <v>10</v>
      </c>
      <c r="X14" t="s">
        <v>0</v>
      </c>
      <c r="Y14" s="2"/>
      <c r="Z14" t="s">
        <v>11</v>
      </c>
      <c r="AA14" t="s">
        <v>0</v>
      </c>
      <c r="AB14" t="s">
        <v>14</v>
      </c>
      <c r="AC14" t="s">
        <v>16</v>
      </c>
      <c r="AD14" t="s">
        <v>0</v>
      </c>
      <c r="AE14" t="s">
        <v>0</v>
      </c>
      <c r="AF14" t="s">
        <v>0</v>
      </c>
    </row>
    <row r="15" spans="1:32" ht="25" x14ac:dyDescent="0.25">
      <c r="A15" s="2">
        <v>46099</v>
      </c>
      <c r="B15" t="s">
        <v>71</v>
      </c>
      <c r="C15" t="s">
        <v>72</v>
      </c>
      <c r="D15" t="s">
        <v>73</v>
      </c>
      <c r="E15" t="s">
        <v>73</v>
      </c>
      <c r="F15" t="s">
        <v>4</v>
      </c>
      <c r="G15" s="2">
        <v>46052</v>
      </c>
      <c r="H15" s="2">
        <v>46099</v>
      </c>
      <c r="I15" t="s">
        <v>54</v>
      </c>
      <c r="J15" t="s">
        <v>55</v>
      </c>
      <c r="K15" t="s">
        <v>7</v>
      </c>
      <c r="L15" t="s">
        <v>8</v>
      </c>
      <c r="M15" s="3">
        <v>781410.04</v>
      </c>
      <c r="N15" s="3" t="s">
        <v>464</v>
      </c>
      <c r="O15" t="s">
        <v>12</v>
      </c>
      <c r="P15" t="s">
        <v>13</v>
      </c>
      <c r="Q15" t="s">
        <v>12</v>
      </c>
      <c r="R15" t="s">
        <v>12</v>
      </c>
      <c r="S15" t="s">
        <v>12</v>
      </c>
      <c r="T15" s="11" t="s">
        <v>74</v>
      </c>
      <c r="U15" s="11" t="s">
        <v>38</v>
      </c>
      <c r="V15" t="s">
        <v>9</v>
      </c>
      <c r="W15" t="s">
        <v>10</v>
      </c>
      <c r="X15" t="s">
        <v>0</v>
      </c>
      <c r="Y15" s="2"/>
      <c r="Z15" t="s">
        <v>11</v>
      </c>
      <c r="AA15" t="s">
        <v>0</v>
      </c>
      <c r="AB15" t="s">
        <v>14</v>
      </c>
      <c r="AC15" t="s">
        <v>16</v>
      </c>
      <c r="AD15" t="s">
        <v>0</v>
      </c>
      <c r="AE15" t="s">
        <v>0</v>
      </c>
      <c r="AF15" t="s">
        <v>0</v>
      </c>
    </row>
    <row r="16" spans="1:32" ht="25" x14ac:dyDescent="0.25">
      <c r="A16" s="2">
        <v>46118</v>
      </c>
      <c r="B16" t="s">
        <v>75</v>
      </c>
      <c r="C16" t="s">
        <v>76</v>
      </c>
      <c r="D16" t="s">
        <v>77</v>
      </c>
      <c r="E16" t="s">
        <v>77</v>
      </c>
      <c r="F16" t="s">
        <v>4</v>
      </c>
      <c r="G16" s="2">
        <v>46065</v>
      </c>
      <c r="H16" s="2">
        <v>46112</v>
      </c>
      <c r="I16" t="s">
        <v>54</v>
      </c>
      <c r="J16" t="s">
        <v>55</v>
      </c>
      <c r="K16" t="s">
        <v>7</v>
      </c>
      <c r="L16" t="s">
        <v>8</v>
      </c>
      <c r="M16" s="3">
        <v>546345</v>
      </c>
      <c r="N16" s="3" t="s">
        <v>464</v>
      </c>
      <c r="O16" t="s">
        <v>78</v>
      </c>
      <c r="P16" t="s">
        <v>13</v>
      </c>
      <c r="Q16" t="s">
        <v>78</v>
      </c>
      <c r="R16" t="s">
        <v>78</v>
      </c>
      <c r="S16" t="s">
        <v>78</v>
      </c>
      <c r="T16" s="11" t="s">
        <v>79</v>
      </c>
      <c r="U16" s="11" t="s">
        <v>38</v>
      </c>
      <c r="V16" t="s">
        <v>9</v>
      </c>
      <c r="W16" t="s">
        <v>10</v>
      </c>
      <c r="X16" t="s">
        <v>0</v>
      </c>
      <c r="Y16" s="2"/>
      <c r="Z16" t="s">
        <v>11</v>
      </c>
      <c r="AA16" t="s">
        <v>0</v>
      </c>
      <c r="AB16" t="s">
        <v>14</v>
      </c>
      <c r="AC16" t="s">
        <v>16</v>
      </c>
      <c r="AD16" t="s">
        <v>0</v>
      </c>
      <c r="AE16" t="s">
        <v>0</v>
      </c>
      <c r="AF16" t="s">
        <v>0</v>
      </c>
    </row>
    <row r="17" spans="1:32" ht="25" x14ac:dyDescent="0.25">
      <c r="A17" s="2">
        <v>46142</v>
      </c>
      <c r="B17" t="s">
        <v>80</v>
      </c>
      <c r="C17" t="s">
        <v>81</v>
      </c>
      <c r="D17" t="s">
        <v>82</v>
      </c>
      <c r="E17" t="s">
        <v>82</v>
      </c>
      <c r="F17" t="s">
        <v>83</v>
      </c>
      <c r="G17" s="2">
        <v>46112</v>
      </c>
      <c r="H17" s="2">
        <v>46112</v>
      </c>
      <c r="I17" t="s">
        <v>54</v>
      </c>
      <c r="J17" t="s">
        <v>55</v>
      </c>
      <c r="K17" t="s">
        <v>7</v>
      </c>
      <c r="L17" t="s">
        <v>84</v>
      </c>
      <c r="M17" s="3">
        <v>-546345</v>
      </c>
      <c r="N17" s="3" t="s">
        <v>466</v>
      </c>
      <c r="O17" t="s">
        <v>78</v>
      </c>
      <c r="P17" t="s">
        <v>13</v>
      </c>
      <c r="Q17" t="s">
        <v>78</v>
      </c>
      <c r="R17" t="s">
        <v>0</v>
      </c>
      <c r="S17" t="s">
        <v>78</v>
      </c>
      <c r="T17" s="11" t="s">
        <v>85</v>
      </c>
      <c r="U17" s="11" t="s">
        <v>86</v>
      </c>
      <c r="V17" t="s">
        <v>9</v>
      </c>
      <c r="W17" t="s">
        <v>10</v>
      </c>
      <c r="X17" t="s">
        <v>0</v>
      </c>
      <c r="Y17" s="2"/>
      <c r="Z17" t="s">
        <v>11</v>
      </c>
      <c r="AA17" t="s">
        <v>0</v>
      </c>
      <c r="AB17" t="s">
        <v>14</v>
      </c>
      <c r="AC17" t="s">
        <v>16</v>
      </c>
      <c r="AD17" t="s">
        <v>87</v>
      </c>
      <c r="AE17" t="s">
        <v>0</v>
      </c>
      <c r="AF17" t="s">
        <v>0</v>
      </c>
    </row>
    <row r="18" spans="1:32" ht="25" x14ac:dyDescent="0.25">
      <c r="A18" s="2">
        <v>46154</v>
      </c>
      <c r="B18" t="s">
        <v>88</v>
      </c>
      <c r="C18" t="s">
        <v>89</v>
      </c>
      <c r="D18" t="s">
        <v>90</v>
      </c>
      <c r="E18" t="s">
        <v>90</v>
      </c>
      <c r="F18" t="s">
        <v>83</v>
      </c>
      <c r="G18" s="2">
        <v>46053</v>
      </c>
      <c r="H18" s="2">
        <v>46053</v>
      </c>
      <c r="I18" t="s">
        <v>5</v>
      </c>
      <c r="J18" t="s">
        <v>6</v>
      </c>
      <c r="K18" t="s">
        <v>7</v>
      </c>
      <c r="L18" t="s">
        <v>84</v>
      </c>
      <c r="M18" s="3">
        <v>-63333.34</v>
      </c>
      <c r="N18" s="3" t="s">
        <v>466</v>
      </c>
      <c r="O18" t="s">
        <v>19</v>
      </c>
      <c r="P18" t="s">
        <v>13</v>
      </c>
      <c r="Q18" t="s">
        <v>19</v>
      </c>
      <c r="R18" t="s">
        <v>0</v>
      </c>
      <c r="S18" t="s">
        <v>19</v>
      </c>
      <c r="T18" s="11" t="s">
        <v>91</v>
      </c>
      <c r="U18" s="11" t="s">
        <v>86</v>
      </c>
      <c r="V18" t="s">
        <v>9</v>
      </c>
      <c r="W18" t="s">
        <v>10</v>
      </c>
      <c r="X18" t="s">
        <v>0</v>
      </c>
      <c r="Y18" s="2"/>
      <c r="Z18" t="s">
        <v>11</v>
      </c>
      <c r="AA18" t="s">
        <v>0</v>
      </c>
      <c r="AB18" t="s">
        <v>14</v>
      </c>
      <c r="AC18" t="s">
        <v>16</v>
      </c>
      <c r="AD18" t="s">
        <v>92</v>
      </c>
      <c r="AE18" t="s">
        <v>0</v>
      </c>
      <c r="AF18" t="s">
        <v>0</v>
      </c>
    </row>
    <row r="19" spans="1:32" ht="25" x14ac:dyDescent="0.25">
      <c r="A19" s="2">
        <v>46154</v>
      </c>
      <c r="B19" t="s">
        <v>88</v>
      </c>
      <c r="C19" t="s">
        <v>89</v>
      </c>
      <c r="D19" t="s">
        <v>93</v>
      </c>
      <c r="E19" t="s">
        <v>93</v>
      </c>
      <c r="F19" t="s">
        <v>83</v>
      </c>
      <c r="G19" s="2">
        <v>46081</v>
      </c>
      <c r="H19" s="2">
        <v>46081</v>
      </c>
      <c r="I19" t="s">
        <v>94</v>
      </c>
      <c r="J19" t="s">
        <v>95</v>
      </c>
      <c r="K19" t="s">
        <v>7</v>
      </c>
      <c r="L19" t="s">
        <v>84</v>
      </c>
      <c r="M19" s="3">
        <v>-123378.34</v>
      </c>
      <c r="N19" s="3" t="s">
        <v>466</v>
      </c>
      <c r="O19" t="s">
        <v>19</v>
      </c>
      <c r="P19" t="s">
        <v>13</v>
      </c>
      <c r="Q19" t="s">
        <v>19</v>
      </c>
      <c r="R19" t="s">
        <v>0</v>
      </c>
      <c r="S19" t="s">
        <v>19</v>
      </c>
      <c r="T19" s="11" t="s">
        <v>96</v>
      </c>
      <c r="U19" s="11" t="s">
        <v>86</v>
      </c>
      <c r="V19" t="s">
        <v>9</v>
      </c>
      <c r="W19" t="s">
        <v>10</v>
      </c>
      <c r="X19" t="s">
        <v>0</v>
      </c>
      <c r="Y19" s="2"/>
      <c r="Z19" t="s">
        <v>11</v>
      </c>
      <c r="AA19" t="s">
        <v>0</v>
      </c>
      <c r="AB19" t="s">
        <v>14</v>
      </c>
      <c r="AC19" t="s">
        <v>16</v>
      </c>
      <c r="AD19" t="s">
        <v>97</v>
      </c>
      <c r="AE19" t="s">
        <v>0</v>
      </c>
      <c r="AF19" t="s">
        <v>0</v>
      </c>
    </row>
    <row r="20" spans="1:32" ht="25" x14ac:dyDescent="0.25">
      <c r="A20" s="2">
        <v>46154</v>
      </c>
      <c r="B20" t="s">
        <v>88</v>
      </c>
      <c r="C20" t="s">
        <v>89</v>
      </c>
      <c r="D20" t="s">
        <v>98</v>
      </c>
      <c r="E20" t="s">
        <v>98</v>
      </c>
      <c r="F20" t="s">
        <v>83</v>
      </c>
      <c r="G20" s="2">
        <v>46112</v>
      </c>
      <c r="H20" s="2">
        <v>46112</v>
      </c>
      <c r="I20" t="s">
        <v>54</v>
      </c>
      <c r="J20" t="s">
        <v>55</v>
      </c>
      <c r="K20" t="s">
        <v>7</v>
      </c>
      <c r="L20" t="s">
        <v>84</v>
      </c>
      <c r="M20" s="3">
        <v>-121797.11</v>
      </c>
      <c r="N20" s="3" t="s">
        <v>466</v>
      </c>
      <c r="O20" t="s">
        <v>19</v>
      </c>
      <c r="P20" t="s">
        <v>13</v>
      </c>
      <c r="Q20" t="s">
        <v>19</v>
      </c>
      <c r="R20" t="s">
        <v>0</v>
      </c>
      <c r="S20" t="s">
        <v>19</v>
      </c>
      <c r="T20" s="11" t="s">
        <v>99</v>
      </c>
      <c r="U20" s="11" t="s">
        <v>86</v>
      </c>
      <c r="V20" t="s">
        <v>9</v>
      </c>
      <c r="W20" t="s">
        <v>10</v>
      </c>
      <c r="X20" t="s">
        <v>0</v>
      </c>
      <c r="Y20" s="2"/>
      <c r="Z20" t="s">
        <v>11</v>
      </c>
      <c r="AA20" t="s">
        <v>0</v>
      </c>
      <c r="AB20" t="s">
        <v>14</v>
      </c>
      <c r="AC20" t="s">
        <v>16</v>
      </c>
      <c r="AD20" t="s">
        <v>100</v>
      </c>
      <c r="AE20" t="s">
        <v>0</v>
      </c>
      <c r="AF20" t="s">
        <v>0</v>
      </c>
    </row>
    <row r="21" spans="1:32" ht="25" x14ac:dyDescent="0.25">
      <c r="A21" s="2">
        <v>46154</v>
      </c>
      <c r="B21" t="s">
        <v>101</v>
      </c>
      <c r="C21" t="s">
        <v>102</v>
      </c>
      <c r="D21" t="s">
        <v>103</v>
      </c>
      <c r="E21" t="s">
        <v>103</v>
      </c>
      <c r="F21" t="s">
        <v>83</v>
      </c>
      <c r="G21" s="2">
        <v>46081</v>
      </c>
      <c r="H21" s="2">
        <v>46081</v>
      </c>
      <c r="I21" t="s">
        <v>94</v>
      </c>
      <c r="J21" t="s">
        <v>95</v>
      </c>
      <c r="K21" t="s">
        <v>7</v>
      </c>
      <c r="L21" t="s">
        <v>84</v>
      </c>
      <c r="M21" s="3">
        <v>-6666.7</v>
      </c>
      <c r="N21" s="3" t="s">
        <v>466</v>
      </c>
      <c r="O21" t="s">
        <v>27</v>
      </c>
      <c r="P21" t="s">
        <v>13</v>
      </c>
      <c r="Q21" t="s">
        <v>27</v>
      </c>
      <c r="R21" t="s">
        <v>0</v>
      </c>
      <c r="S21" t="s">
        <v>27</v>
      </c>
      <c r="T21" s="11" t="s">
        <v>104</v>
      </c>
      <c r="U21" s="11" t="s">
        <v>86</v>
      </c>
      <c r="V21" t="s">
        <v>9</v>
      </c>
      <c r="W21" t="s">
        <v>10</v>
      </c>
      <c r="X21" t="s">
        <v>0</v>
      </c>
      <c r="Y21" s="2"/>
      <c r="Z21" t="s">
        <v>11</v>
      </c>
      <c r="AA21" t="s">
        <v>0</v>
      </c>
      <c r="AB21" t="s">
        <v>14</v>
      </c>
      <c r="AC21" t="s">
        <v>16</v>
      </c>
      <c r="AD21" t="s">
        <v>105</v>
      </c>
      <c r="AE21" t="s">
        <v>0</v>
      </c>
      <c r="AF21" t="s">
        <v>0</v>
      </c>
    </row>
    <row r="22" spans="1:32" ht="25" x14ac:dyDescent="0.25">
      <c r="A22" s="2">
        <v>46154</v>
      </c>
      <c r="B22" t="s">
        <v>101</v>
      </c>
      <c r="C22" t="s">
        <v>102</v>
      </c>
      <c r="D22" t="s">
        <v>106</v>
      </c>
      <c r="E22" t="s">
        <v>106</v>
      </c>
      <c r="F22" t="s">
        <v>83</v>
      </c>
      <c r="G22" s="2">
        <v>46112</v>
      </c>
      <c r="H22" s="2">
        <v>46112</v>
      </c>
      <c r="I22" t="s">
        <v>54</v>
      </c>
      <c r="J22" t="s">
        <v>55</v>
      </c>
      <c r="K22" t="s">
        <v>7</v>
      </c>
      <c r="L22" t="s">
        <v>84</v>
      </c>
      <c r="M22" s="3">
        <v>-6666.7</v>
      </c>
      <c r="N22" s="3" t="s">
        <v>466</v>
      </c>
      <c r="O22" t="s">
        <v>27</v>
      </c>
      <c r="P22" t="s">
        <v>13</v>
      </c>
      <c r="Q22" t="s">
        <v>27</v>
      </c>
      <c r="R22" t="s">
        <v>0</v>
      </c>
      <c r="S22" t="s">
        <v>27</v>
      </c>
      <c r="T22" s="11" t="s">
        <v>107</v>
      </c>
      <c r="U22" s="11" t="s">
        <v>86</v>
      </c>
      <c r="V22" t="s">
        <v>9</v>
      </c>
      <c r="W22" t="s">
        <v>10</v>
      </c>
      <c r="X22" t="s">
        <v>0</v>
      </c>
      <c r="Y22" s="2"/>
      <c r="Z22" t="s">
        <v>11</v>
      </c>
      <c r="AA22" t="s">
        <v>0</v>
      </c>
      <c r="AB22" t="s">
        <v>14</v>
      </c>
      <c r="AC22" t="s">
        <v>16</v>
      </c>
      <c r="AD22" t="s">
        <v>108</v>
      </c>
      <c r="AE22" t="s">
        <v>0</v>
      </c>
      <c r="AF22" t="s">
        <v>0</v>
      </c>
    </row>
    <row r="23" spans="1:32" ht="25" x14ac:dyDescent="0.25">
      <c r="A23" s="2">
        <v>46154</v>
      </c>
      <c r="B23" t="s">
        <v>109</v>
      </c>
      <c r="C23" t="s">
        <v>110</v>
      </c>
      <c r="D23" t="s">
        <v>111</v>
      </c>
      <c r="E23" t="s">
        <v>111</v>
      </c>
      <c r="F23" t="s">
        <v>83</v>
      </c>
      <c r="G23" s="2">
        <v>46081</v>
      </c>
      <c r="H23" s="2">
        <v>46081</v>
      </c>
      <c r="I23" t="s">
        <v>94</v>
      </c>
      <c r="J23" t="s">
        <v>95</v>
      </c>
      <c r="K23" t="s">
        <v>7</v>
      </c>
      <c r="L23" t="s">
        <v>84</v>
      </c>
      <c r="M23" s="3">
        <v>-22611.27</v>
      </c>
      <c r="N23" s="3" t="s">
        <v>466</v>
      </c>
      <c r="O23" t="s">
        <v>27</v>
      </c>
      <c r="P23" t="s">
        <v>13</v>
      </c>
      <c r="Q23" t="s">
        <v>27</v>
      </c>
      <c r="R23" t="s">
        <v>0</v>
      </c>
      <c r="S23" t="s">
        <v>27</v>
      </c>
      <c r="T23" s="11" t="s">
        <v>112</v>
      </c>
      <c r="U23" s="11" t="s">
        <v>86</v>
      </c>
      <c r="V23" t="s">
        <v>9</v>
      </c>
      <c r="W23" t="s">
        <v>10</v>
      </c>
      <c r="X23" t="s">
        <v>0</v>
      </c>
      <c r="Y23" s="2"/>
      <c r="Z23" t="s">
        <v>11</v>
      </c>
      <c r="AA23" t="s">
        <v>0</v>
      </c>
      <c r="AB23" t="s">
        <v>14</v>
      </c>
      <c r="AC23" t="s">
        <v>16</v>
      </c>
      <c r="AD23" t="s">
        <v>113</v>
      </c>
      <c r="AE23" t="s">
        <v>0</v>
      </c>
      <c r="AF23" t="s">
        <v>0</v>
      </c>
    </row>
    <row r="24" spans="1:32" ht="25" x14ac:dyDescent="0.25">
      <c r="A24" s="2">
        <v>46154</v>
      </c>
      <c r="B24" t="s">
        <v>109</v>
      </c>
      <c r="C24" t="s">
        <v>110</v>
      </c>
      <c r="D24" t="s">
        <v>114</v>
      </c>
      <c r="E24" t="s">
        <v>114</v>
      </c>
      <c r="F24" t="s">
        <v>83</v>
      </c>
      <c r="G24" s="2">
        <v>46112</v>
      </c>
      <c r="H24" s="2">
        <v>46112</v>
      </c>
      <c r="I24" t="s">
        <v>54</v>
      </c>
      <c r="J24" t="s">
        <v>55</v>
      </c>
      <c r="K24" t="s">
        <v>7</v>
      </c>
      <c r="L24" t="s">
        <v>84</v>
      </c>
      <c r="M24" s="3">
        <v>-88278.13</v>
      </c>
      <c r="N24" s="3" t="s">
        <v>466</v>
      </c>
      <c r="O24" t="s">
        <v>27</v>
      </c>
      <c r="P24" t="s">
        <v>13</v>
      </c>
      <c r="Q24" t="s">
        <v>27</v>
      </c>
      <c r="R24" t="s">
        <v>0</v>
      </c>
      <c r="S24" t="s">
        <v>27</v>
      </c>
      <c r="T24" s="11" t="s">
        <v>115</v>
      </c>
      <c r="U24" s="11" t="s">
        <v>86</v>
      </c>
      <c r="V24" t="s">
        <v>9</v>
      </c>
      <c r="W24" t="s">
        <v>10</v>
      </c>
      <c r="X24" t="s">
        <v>0</v>
      </c>
      <c r="Y24" s="2"/>
      <c r="Z24" t="s">
        <v>11</v>
      </c>
      <c r="AA24" t="s">
        <v>0</v>
      </c>
      <c r="AB24" t="s">
        <v>14</v>
      </c>
      <c r="AC24" t="s">
        <v>16</v>
      </c>
      <c r="AD24" t="s">
        <v>116</v>
      </c>
      <c r="AE24" t="s">
        <v>0</v>
      </c>
      <c r="AF24" t="s">
        <v>0</v>
      </c>
    </row>
    <row r="25" spans="1:32" ht="25" x14ac:dyDescent="0.25">
      <c r="A25" s="2">
        <v>46154</v>
      </c>
      <c r="B25" t="s">
        <v>117</v>
      </c>
      <c r="C25" t="s">
        <v>118</v>
      </c>
      <c r="D25" t="s">
        <v>119</v>
      </c>
      <c r="E25" t="s">
        <v>119</v>
      </c>
      <c r="F25" t="s">
        <v>83</v>
      </c>
      <c r="G25" s="2">
        <v>46112</v>
      </c>
      <c r="H25" s="2">
        <v>46112</v>
      </c>
      <c r="I25" t="s">
        <v>54</v>
      </c>
      <c r="J25" t="s">
        <v>55</v>
      </c>
      <c r="K25" t="s">
        <v>7</v>
      </c>
      <c r="L25" t="s">
        <v>84</v>
      </c>
      <c r="M25" s="3">
        <v>-26052.86</v>
      </c>
      <c r="N25" s="3" t="s">
        <v>466</v>
      </c>
      <c r="O25" t="s">
        <v>27</v>
      </c>
      <c r="P25" t="s">
        <v>13</v>
      </c>
      <c r="Q25" t="s">
        <v>27</v>
      </c>
      <c r="R25" t="s">
        <v>0</v>
      </c>
      <c r="S25" t="s">
        <v>27</v>
      </c>
      <c r="T25" s="11" t="s">
        <v>120</v>
      </c>
      <c r="U25" s="11" t="s">
        <v>86</v>
      </c>
      <c r="V25" t="s">
        <v>9</v>
      </c>
      <c r="W25" t="s">
        <v>10</v>
      </c>
      <c r="X25" t="s">
        <v>0</v>
      </c>
      <c r="Y25" s="2"/>
      <c r="Z25" t="s">
        <v>11</v>
      </c>
      <c r="AA25" t="s">
        <v>0</v>
      </c>
      <c r="AB25" t="s">
        <v>14</v>
      </c>
      <c r="AC25" t="s">
        <v>16</v>
      </c>
      <c r="AD25" t="s">
        <v>121</v>
      </c>
      <c r="AE25" t="s">
        <v>0</v>
      </c>
      <c r="AF25" t="s">
        <v>0</v>
      </c>
    </row>
    <row r="26" spans="1:32" ht="25" x14ac:dyDescent="0.25">
      <c r="A26" s="2">
        <v>46154</v>
      </c>
      <c r="B26" t="s">
        <v>122</v>
      </c>
      <c r="C26" t="s">
        <v>123</v>
      </c>
      <c r="D26" t="s">
        <v>124</v>
      </c>
      <c r="E26" t="s">
        <v>124</v>
      </c>
      <c r="F26" t="s">
        <v>83</v>
      </c>
      <c r="G26" s="2">
        <v>46112</v>
      </c>
      <c r="H26" s="2">
        <v>46112</v>
      </c>
      <c r="I26" t="s">
        <v>54</v>
      </c>
      <c r="J26" t="s">
        <v>55</v>
      </c>
      <c r="K26" t="s">
        <v>7</v>
      </c>
      <c r="L26" t="s">
        <v>84</v>
      </c>
      <c r="M26" s="3">
        <v>-8000</v>
      </c>
      <c r="N26" s="3" t="s">
        <v>466</v>
      </c>
      <c r="O26" t="s">
        <v>27</v>
      </c>
      <c r="P26" t="s">
        <v>13</v>
      </c>
      <c r="Q26" t="s">
        <v>27</v>
      </c>
      <c r="R26" t="s">
        <v>0</v>
      </c>
      <c r="S26" t="s">
        <v>27</v>
      </c>
      <c r="T26" s="11" t="s">
        <v>125</v>
      </c>
      <c r="U26" s="11" t="s">
        <v>86</v>
      </c>
      <c r="V26" t="s">
        <v>9</v>
      </c>
      <c r="W26" t="s">
        <v>10</v>
      </c>
      <c r="X26" t="s">
        <v>0</v>
      </c>
      <c r="Y26" s="2"/>
      <c r="Z26" t="s">
        <v>11</v>
      </c>
      <c r="AA26" t="s">
        <v>0</v>
      </c>
      <c r="AB26" t="s">
        <v>14</v>
      </c>
      <c r="AC26" t="s">
        <v>16</v>
      </c>
      <c r="AD26" t="s">
        <v>126</v>
      </c>
      <c r="AE26" t="s">
        <v>0</v>
      </c>
      <c r="AF26" t="s">
        <v>0</v>
      </c>
    </row>
    <row r="27" spans="1:32" ht="25" x14ac:dyDescent="0.25">
      <c r="A27" s="2">
        <v>46154</v>
      </c>
      <c r="B27" t="s">
        <v>127</v>
      </c>
      <c r="C27" t="s">
        <v>128</v>
      </c>
      <c r="D27" t="s">
        <v>129</v>
      </c>
      <c r="E27" t="s">
        <v>129</v>
      </c>
      <c r="F27" t="s">
        <v>83</v>
      </c>
      <c r="G27" s="2">
        <v>46112</v>
      </c>
      <c r="H27" s="2">
        <v>46112</v>
      </c>
      <c r="I27" t="s">
        <v>54</v>
      </c>
      <c r="J27" t="s">
        <v>55</v>
      </c>
      <c r="K27" t="s">
        <v>7</v>
      </c>
      <c r="L27" t="s">
        <v>84</v>
      </c>
      <c r="M27" s="3">
        <v>-1256.9000000000001</v>
      </c>
      <c r="N27" s="3" t="s">
        <v>466</v>
      </c>
      <c r="O27" t="s">
        <v>27</v>
      </c>
      <c r="P27" t="s">
        <v>13</v>
      </c>
      <c r="Q27" t="s">
        <v>27</v>
      </c>
      <c r="R27" t="s">
        <v>0</v>
      </c>
      <c r="S27" t="s">
        <v>27</v>
      </c>
      <c r="T27" s="11" t="s">
        <v>130</v>
      </c>
      <c r="U27" s="11" t="s">
        <v>86</v>
      </c>
      <c r="V27" t="s">
        <v>9</v>
      </c>
      <c r="W27" t="s">
        <v>10</v>
      </c>
      <c r="X27" t="s">
        <v>0</v>
      </c>
      <c r="Y27" s="2"/>
      <c r="Z27" t="s">
        <v>11</v>
      </c>
      <c r="AA27" t="s">
        <v>0</v>
      </c>
      <c r="AB27" t="s">
        <v>14</v>
      </c>
      <c r="AC27" t="s">
        <v>16</v>
      </c>
      <c r="AD27" t="s">
        <v>131</v>
      </c>
      <c r="AE27" t="s">
        <v>0</v>
      </c>
      <c r="AF27" t="s">
        <v>0</v>
      </c>
    </row>
    <row r="28" spans="1:32" ht="25" x14ac:dyDescent="0.25">
      <c r="A28" s="2">
        <v>46154</v>
      </c>
      <c r="B28" t="s">
        <v>132</v>
      </c>
      <c r="C28" t="s">
        <v>133</v>
      </c>
      <c r="D28" t="s">
        <v>134</v>
      </c>
      <c r="E28" t="s">
        <v>134</v>
      </c>
      <c r="F28" t="s">
        <v>83</v>
      </c>
      <c r="G28" s="2">
        <v>46112</v>
      </c>
      <c r="H28" s="2">
        <v>46112</v>
      </c>
      <c r="I28" t="s">
        <v>54</v>
      </c>
      <c r="J28" t="s">
        <v>55</v>
      </c>
      <c r="K28" t="s">
        <v>7</v>
      </c>
      <c r="L28" t="s">
        <v>84</v>
      </c>
      <c r="M28" s="3">
        <v>-8700</v>
      </c>
      <c r="N28" s="3" t="s">
        <v>466</v>
      </c>
      <c r="O28" t="s">
        <v>27</v>
      </c>
      <c r="P28" t="s">
        <v>13</v>
      </c>
      <c r="Q28" t="s">
        <v>27</v>
      </c>
      <c r="R28" t="s">
        <v>0</v>
      </c>
      <c r="S28" t="s">
        <v>27</v>
      </c>
      <c r="T28" s="11" t="s">
        <v>135</v>
      </c>
      <c r="U28" s="11" t="s">
        <v>86</v>
      </c>
      <c r="V28" t="s">
        <v>9</v>
      </c>
      <c r="W28" t="s">
        <v>10</v>
      </c>
      <c r="X28" t="s">
        <v>0</v>
      </c>
      <c r="Y28" s="2"/>
      <c r="Z28" t="s">
        <v>11</v>
      </c>
      <c r="AA28" t="s">
        <v>0</v>
      </c>
      <c r="AB28" t="s">
        <v>14</v>
      </c>
      <c r="AC28" t="s">
        <v>16</v>
      </c>
      <c r="AD28" t="s">
        <v>136</v>
      </c>
      <c r="AE28" t="s">
        <v>0</v>
      </c>
      <c r="AF28" t="s">
        <v>0</v>
      </c>
    </row>
    <row r="29" spans="1:32" ht="25" x14ac:dyDescent="0.25">
      <c r="A29" s="2">
        <v>46154</v>
      </c>
      <c r="B29" t="s">
        <v>137</v>
      </c>
      <c r="C29" t="s">
        <v>138</v>
      </c>
      <c r="D29" t="s">
        <v>139</v>
      </c>
      <c r="E29" t="s">
        <v>139</v>
      </c>
      <c r="F29" t="s">
        <v>83</v>
      </c>
      <c r="G29" s="2">
        <v>46112</v>
      </c>
      <c r="H29" s="2">
        <v>46112</v>
      </c>
      <c r="I29" t="s">
        <v>54</v>
      </c>
      <c r="J29" t="s">
        <v>55</v>
      </c>
      <c r="K29" t="s">
        <v>7</v>
      </c>
      <c r="L29" t="s">
        <v>84</v>
      </c>
      <c r="M29" s="3">
        <v>-16800</v>
      </c>
      <c r="N29" s="3" t="s">
        <v>466</v>
      </c>
      <c r="O29" t="s">
        <v>27</v>
      </c>
      <c r="P29" t="s">
        <v>13</v>
      </c>
      <c r="Q29" t="s">
        <v>27</v>
      </c>
      <c r="R29" t="s">
        <v>0</v>
      </c>
      <c r="S29" t="s">
        <v>27</v>
      </c>
      <c r="T29" s="11" t="s">
        <v>140</v>
      </c>
      <c r="U29" s="11" t="s">
        <v>86</v>
      </c>
      <c r="V29" t="s">
        <v>9</v>
      </c>
      <c r="W29" t="s">
        <v>10</v>
      </c>
      <c r="X29" t="s">
        <v>0</v>
      </c>
      <c r="Y29" s="2"/>
      <c r="Z29" t="s">
        <v>11</v>
      </c>
      <c r="AA29" t="s">
        <v>0</v>
      </c>
      <c r="AB29" t="s">
        <v>14</v>
      </c>
      <c r="AC29" t="s">
        <v>16</v>
      </c>
      <c r="AD29" t="s">
        <v>141</v>
      </c>
      <c r="AE29" t="s">
        <v>0</v>
      </c>
      <c r="AF29" t="s">
        <v>0</v>
      </c>
    </row>
    <row r="30" spans="1:32" ht="25" x14ac:dyDescent="0.25">
      <c r="A30" s="2">
        <v>46153</v>
      </c>
      <c r="B30" t="s">
        <v>142</v>
      </c>
      <c r="C30" t="s">
        <v>143</v>
      </c>
      <c r="D30" t="s">
        <v>144</v>
      </c>
      <c r="E30" t="s">
        <v>144</v>
      </c>
      <c r="F30" t="s">
        <v>83</v>
      </c>
      <c r="G30" s="2">
        <v>46053</v>
      </c>
      <c r="H30" s="2">
        <v>46053</v>
      </c>
      <c r="I30" t="s">
        <v>5</v>
      </c>
      <c r="J30" t="s">
        <v>6</v>
      </c>
      <c r="K30" t="s">
        <v>7</v>
      </c>
      <c r="L30" t="s">
        <v>84</v>
      </c>
      <c r="M30" s="3">
        <v>-4893801.5999999996</v>
      </c>
      <c r="N30" s="3" t="s">
        <v>466</v>
      </c>
      <c r="O30" t="s">
        <v>12</v>
      </c>
      <c r="P30" t="s">
        <v>13</v>
      </c>
      <c r="Q30" t="s">
        <v>12</v>
      </c>
      <c r="R30" t="s">
        <v>0</v>
      </c>
      <c r="S30" t="s">
        <v>12</v>
      </c>
      <c r="T30" s="11" t="s">
        <v>145</v>
      </c>
      <c r="U30" s="11" t="s">
        <v>86</v>
      </c>
      <c r="V30" t="s">
        <v>9</v>
      </c>
      <c r="W30" t="s">
        <v>10</v>
      </c>
      <c r="X30" t="s">
        <v>0</v>
      </c>
      <c r="Y30" s="2"/>
      <c r="Z30" t="s">
        <v>11</v>
      </c>
      <c r="AA30" t="s">
        <v>0</v>
      </c>
      <c r="AB30" t="s">
        <v>14</v>
      </c>
      <c r="AC30" t="s">
        <v>16</v>
      </c>
      <c r="AD30" t="s">
        <v>146</v>
      </c>
      <c r="AE30" t="s">
        <v>0</v>
      </c>
      <c r="AF30" t="s">
        <v>0</v>
      </c>
    </row>
    <row r="31" spans="1:32" ht="25" x14ac:dyDescent="0.25">
      <c r="A31" s="2">
        <v>46153</v>
      </c>
      <c r="B31" t="s">
        <v>142</v>
      </c>
      <c r="C31" t="s">
        <v>143</v>
      </c>
      <c r="D31" t="s">
        <v>147</v>
      </c>
      <c r="E31" t="s">
        <v>147</v>
      </c>
      <c r="F31" t="s">
        <v>83</v>
      </c>
      <c r="G31" s="2">
        <v>46081</v>
      </c>
      <c r="H31" s="2">
        <v>46081</v>
      </c>
      <c r="I31" t="s">
        <v>94</v>
      </c>
      <c r="J31" t="s">
        <v>95</v>
      </c>
      <c r="K31" t="s">
        <v>7</v>
      </c>
      <c r="L31" t="s">
        <v>84</v>
      </c>
      <c r="M31" s="3">
        <v>-5360125.5999999996</v>
      </c>
      <c r="N31" s="3" t="s">
        <v>466</v>
      </c>
      <c r="O31" t="s">
        <v>12</v>
      </c>
      <c r="P31" t="s">
        <v>13</v>
      </c>
      <c r="Q31" t="s">
        <v>12</v>
      </c>
      <c r="R31" t="s">
        <v>0</v>
      </c>
      <c r="S31" t="s">
        <v>12</v>
      </c>
      <c r="T31" s="11" t="s">
        <v>148</v>
      </c>
      <c r="U31" s="11" t="s">
        <v>86</v>
      </c>
      <c r="V31" t="s">
        <v>9</v>
      </c>
      <c r="W31" t="s">
        <v>10</v>
      </c>
      <c r="X31" t="s">
        <v>0</v>
      </c>
      <c r="Y31" s="2"/>
      <c r="Z31" t="s">
        <v>11</v>
      </c>
      <c r="AA31" t="s">
        <v>0</v>
      </c>
      <c r="AB31" t="s">
        <v>14</v>
      </c>
      <c r="AC31" t="s">
        <v>16</v>
      </c>
      <c r="AD31" t="s">
        <v>149</v>
      </c>
      <c r="AE31" t="s">
        <v>0</v>
      </c>
      <c r="AF31" t="s">
        <v>0</v>
      </c>
    </row>
    <row r="32" spans="1:32" ht="25" x14ac:dyDescent="0.25">
      <c r="A32" s="2">
        <v>46154</v>
      </c>
      <c r="B32" t="s">
        <v>142</v>
      </c>
      <c r="C32" t="s">
        <v>143</v>
      </c>
      <c r="D32" t="s">
        <v>150</v>
      </c>
      <c r="E32" t="s">
        <v>150</v>
      </c>
      <c r="F32" t="s">
        <v>83</v>
      </c>
      <c r="G32" s="2">
        <v>46112</v>
      </c>
      <c r="H32" s="2">
        <v>46112</v>
      </c>
      <c r="I32" t="s">
        <v>54</v>
      </c>
      <c r="J32" t="s">
        <v>55</v>
      </c>
      <c r="K32" t="s">
        <v>7</v>
      </c>
      <c r="L32" t="s">
        <v>84</v>
      </c>
      <c r="M32" s="3">
        <v>-4585488.4000000004</v>
      </c>
      <c r="N32" s="3" t="s">
        <v>466</v>
      </c>
      <c r="O32" t="s">
        <v>12</v>
      </c>
      <c r="P32" t="s">
        <v>13</v>
      </c>
      <c r="Q32" t="s">
        <v>12</v>
      </c>
      <c r="R32" t="s">
        <v>0</v>
      </c>
      <c r="S32" t="s">
        <v>12</v>
      </c>
      <c r="T32" s="11" t="s">
        <v>151</v>
      </c>
      <c r="U32" s="11" t="s">
        <v>86</v>
      </c>
      <c r="V32" t="s">
        <v>9</v>
      </c>
      <c r="W32" t="s">
        <v>10</v>
      </c>
      <c r="X32" t="s">
        <v>0</v>
      </c>
      <c r="Y32" s="2"/>
      <c r="Z32" t="s">
        <v>11</v>
      </c>
      <c r="AA32" t="s">
        <v>0</v>
      </c>
      <c r="AB32" t="s">
        <v>14</v>
      </c>
      <c r="AC32" t="s">
        <v>16</v>
      </c>
      <c r="AD32" t="s">
        <v>152</v>
      </c>
      <c r="AE32" t="s">
        <v>0</v>
      </c>
      <c r="AF32" t="s">
        <v>0</v>
      </c>
    </row>
    <row r="33" spans="1:32" ht="25" x14ac:dyDescent="0.25">
      <c r="A33" s="2">
        <v>46154</v>
      </c>
      <c r="B33" t="s">
        <v>153</v>
      </c>
      <c r="C33" t="s">
        <v>154</v>
      </c>
      <c r="D33" t="s">
        <v>155</v>
      </c>
      <c r="E33" t="s">
        <v>155</v>
      </c>
      <c r="F33" t="s">
        <v>83</v>
      </c>
      <c r="G33" s="2">
        <v>46112</v>
      </c>
      <c r="H33" s="2">
        <v>46112</v>
      </c>
      <c r="I33" t="s">
        <v>54</v>
      </c>
      <c r="J33" t="s">
        <v>55</v>
      </c>
      <c r="K33" t="s">
        <v>7</v>
      </c>
      <c r="L33" t="s">
        <v>84</v>
      </c>
      <c r="M33" s="3">
        <v>-781410.04</v>
      </c>
      <c r="N33" s="3" t="s">
        <v>466</v>
      </c>
      <c r="O33" t="s">
        <v>12</v>
      </c>
      <c r="P33" t="s">
        <v>13</v>
      </c>
      <c r="Q33" t="s">
        <v>12</v>
      </c>
      <c r="R33" t="s">
        <v>0</v>
      </c>
      <c r="S33" t="s">
        <v>12</v>
      </c>
      <c r="T33" s="11" t="s">
        <v>156</v>
      </c>
      <c r="U33" s="11" t="s">
        <v>86</v>
      </c>
      <c r="V33" t="s">
        <v>9</v>
      </c>
      <c r="W33" t="s">
        <v>10</v>
      </c>
      <c r="X33" t="s">
        <v>0</v>
      </c>
      <c r="Y33" s="2"/>
      <c r="Z33" t="s">
        <v>11</v>
      </c>
      <c r="AA33" t="s">
        <v>0</v>
      </c>
      <c r="AB33" t="s">
        <v>14</v>
      </c>
      <c r="AC33" t="s">
        <v>16</v>
      </c>
      <c r="AD33" t="s">
        <v>157</v>
      </c>
      <c r="AE33" t="s">
        <v>0</v>
      </c>
      <c r="AF33" t="s">
        <v>0</v>
      </c>
    </row>
    <row r="34" spans="1:32" x14ac:dyDescent="0.25">
      <c r="A34" s="5"/>
      <c r="B34" s="4" t="s">
        <v>0</v>
      </c>
      <c r="C34" s="4" t="s">
        <v>0</v>
      </c>
      <c r="D34" s="4" t="s">
        <v>0</v>
      </c>
      <c r="E34" s="4" t="s">
        <v>0</v>
      </c>
      <c r="F34" s="4" t="s">
        <v>0</v>
      </c>
      <c r="G34" s="5"/>
      <c r="H34" s="5"/>
      <c r="I34" s="4" t="s">
        <v>0</v>
      </c>
      <c r="J34" s="4" t="s">
        <v>0</v>
      </c>
      <c r="K34" s="4" t="s">
        <v>0</v>
      </c>
      <c r="L34" s="4" t="s">
        <v>0</v>
      </c>
      <c r="M34" s="6">
        <v>5191043.05</v>
      </c>
      <c r="N34" s="6"/>
      <c r="O34" s="4" t="s">
        <v>0</v>
      </c>
      <c r="P34" s="4" t="s">
        <v>13</v>
      </c>
      <c r="Q34" s="4" t="s">
        <v>0</v>
      </c>
      <c r="R34" s="4" t="s">
        <v>0</v>
      </c>
      <c r="S34" s="4" t="s">
        <v>0</v>
      </c>
      <c r="T34" s="12" t="s">
        <v>0</v>
      </c>
      <c r="U34" s="12" t="s">
        <v>0</v>
      </c>
      <c r="V34" s="4" t="s">
        <v>9</v>
      </c>
      <c r="W34" s="4" t="s">
        <v>0</v>
      </c>
      <c r="X34" s="4" t="s">
        <v>0</v>
      </c>
      <c r="Y34" s="5"/>
      <c r="Z34" s="4" t="s">
        <v>0</v>
      </c>
      <c r="AA34" s="4" t="s">
        <v>0</v>
      </c>
      <c r="AB34" s="4" t="s">
        <v>0</v>
      </c>
      <c r="AC34" s="4" t="s">
        <v>0</v>
      </c>
      <c r="AD34" s="4" t="s">
        <v>0</v>
      </c>
      <c r="AE34" s="4" t="s">
        <v>0</v>
      </c>
      <c r="AF34" s="4" t="s">
        <v>0</v>
      </c>
    </row>
    <row r="35" spans="1:32" ht="25" x14ac:dyDescent="0.25">
      <c r="A35" s="2">
        <v>46119</v>
      </c>
      <c r="B35" t="s">
        <v>0</v>
      </c>
      <c r="C35" t="s">
        <v>158</v>
      </c>
      <c r="D35" t="s">
        <v>159</v>
      </c>
      <c r="E35" t="s">
        <v>159</v>
      </c>
      <c r="F35" t="s">
        <v>160</v>
      </c>
      <c r="G35" s="2">
        <v>46080</v>
      </c>
      <c r="H35" s="2">
        <v>46080</v>
      </c>
      <c r="I35" t="s">
        <v>94</v>
      </c>
      <c r="J35" t="s">
        <v>95</v>
      </c>
      <c r="K35" t="s">
        <v>7</v>
      </c>
      <c r="L35" t="s">
        <v>84</v>
      </c>
      <c r="M35" s="3">
        <v>-5695</v>
      </c>
      <c r="N35" s="3" t="s">
        <v>465</v>
      </c>
      <c r="O35" t="s">
        <v>161</v>
      </c>
      <c r="P35" t="s">
        <v>162</v>
      </c>
      <c r="Q35" t="s">
        <v>161</v>
      </c>
      <c r="R35" t="s">
        <v>0</v>
      </c>
      <c r="S35" t="s">
        <v>161</v>
      </c>
      <c r="T35" s="11" t="s">
        <v>163</v>
      </c>
      <c r="U35" s="11" t="s">
        <v>164</v>
      </c>
      <c r="V35" t="s">
        <v>9</v>
      </c>
      <c r="W35" t="s">
        <v>10</v>
      </c>
      <c r="X35" t="s">
        <v>0</v>
      </c>
      <c r="Y35" s="2"/>
      <c r="Z35" t="s">
        <v>11</v>
      </c>
      <c r="AA35" t="s">
        <v>0</v>
      </c>
      <c r="AB35" t="s">
        <v>14</v>
      </c>
      <c r="AC35" t="s">
        <v>165</v>
      </c>
      <c r="AD35" t="s">
        <v>166</v>
      </c>
      <c r="AE35" t="s">
        <v>0</v>
      </c>
      <c r="AF35" t="s">
        <v>0</v>
      </c>
    </row>
    <row r="36" spans="1:32" ht="25" x14ac:dyDescent="0.25">
      <c r="A36" s="2">
        <v>46073</v>
      </c>
      <c r="B36" t="s">
        <v>167</v>
      </c>
      <c r="C36" t="s">
        <v>2</v>
      </c>
      <c r="D36" t="s">
        <v>168</v>
      </c>
      <c r="E36" t="s">
        <v>168</v>
      </c>
      <c r="F36" t="s">
        <v>4</v>
      </c>
      <c r="G36" s="2">
        <v>46052</v>
      </c>
      <c r="H36" s="2">
        <v>46053</v>
      </c>
      <c r="I36" t="s">
        <v>5</v>
      </c>
      <c r="J36" t="s">
        <v>6</v>
      </c>
      <c r="K36" t="s">
        <v>7</v>
      </c>
      <c r="L36" t="s">
        <v>8</v>
      </c>
      <c r="M36" s="3">
        <v>1600000</v>
      </c>
      <c r="N36" s="3" t="s">
        <v>464</v>
      </c>
      <c r="O36" t="s">
        <v>12</v>
      </c>
      <c r="P36" t="s">
        <v>162</v>
      </c>
      <c r="Q36" t="s">
        <v>12</v>
      </c>
      <c r="R36" t="s">
        <v>12</v>
      </c>
      <c r="S36" t="s">
        <v>12</v>
      </c>
      <c r="T36" s="11" t="s">
        <v>169</v>
      </c>
      <c r="U36" s="11" t="s">
        <v>170</v>
      </c>
      <c r="V36" t="s">
        <v>9</v>
      </c>
      <c r="W36" t="s">
        <v>10</v>
      </c>
      <c r="X36" t="s">
        <v>0</v>
      </c>
      <c r="Y36" s="2"/>
      <c r="Z36" t="s">
        <v>11</v>
      </c>
      <c r="AA36" t="s">
        <v>0</v>
      </c>
      <c r="AB36" t="s">
        <v>14</v>
      </c>
      <c r="AC36" t="s">
        <v>16</v>
      </c>
      <c r="AD36" t="s">
        <v>0</v>
      </c>
      <c r="AE36" t="s">
        <v>0</v>
      </c>
      <c r="AF36" t="s">
        <v>0</v>
      </c>
    </row>
    <row r="37" spans="1:32" ht="25" x14ac:dyDescent="0.25">
      <c r="A37" s="2">
        <v>46097</v>
      </c>
      <c r="B37" t="s">
        <v>171</v>
      </c>
      <c r="C37" t="s">
        <v>172</v>
      </c>
      <c r="D37" t="s">
        <v>173</v>
      </c>
      <c r="E37" t="s">
        <v>173</v>
      </c>
      <c r="F37" t="s">
        <v>4</v>
      </c>
      <c r="G37" s="2">
        <v>46052</v>
      </c>
      <c r="H37" s="2">
        <v>46090</v>
      </c>
      <c r="I37" t="s">
        <v>54</v>
      </c>
      <c r="J37" t="s">
        <v>55</v>
      </c>
      <c r="K37" t="s">
        <v>7</v>
      </c>
      <c r="L37" t="s">
        <v>8</v>
      </c>
      <c r="M37" s="3">
        <v>467000</v>
      </c>
      <c r="N37" s="3" t="s">
        <v>464</v>
      </c>
      <c r="O37" t="s">
        <v>19</v>
      </c>
      <c r="P37" t="s">
        <v>162</v>
      </c>
      <c r="Q37" t="s">
        <v>19</v>
      </c>
      <c r="R37" t="s">
        <v>19</v>
      </c>
      <c r="S37" t="s">
        <v>19</v>
      </c>
      <c r="T37" s="11" t="s">
        <v>174</v>
      </c>
      <c r="U37" s="11" t="s">
        <v>175</v>
      </c>
      <c r="V37" t="s">
        <v>9</v>
      </c>
      <c r="W37" t="s">
        <v>10</v>
      </c>
      <c r="X37" t="s">
        <v>0</v>
      </c>
      <c r="Y37" s="2"/>
      <c r="Z37" t="s">
        <v>11</v>
      </c>
      <c r="AA37" t="s">
        <v>0</v>
      </c>
      <c r="AB37" t="s">
        <v>14</v>
      </c>
      <c r="AC37" t="s">
        <v>16</v>
      </c>
      <c r="AD37" t="s">
        <v>0</v>
      </c>
      <c r="AE37" t="s">
        <v>0</v>
      </c>
      <c r="AF37" t="s">
        <v>0</v>
      </c>
    </row>
    <row r="38" spans="1:32" ht="25" x14ac:dyDescent="0.25">
      <c r="A38" s="2">
        <v>46097</v>
      </c>
      <c r="B38" t="s">
        <v>176</v>
      </c>
      <c r="C38" t="s">
        <v>172</v>
      </c>
      <c r="D38" t="s">
        <v>177</v>
      </c>
      <c r="E38" t="s">
        <v>177</v>
      </c>
      <c r="F38" t="s">
        <v>4</v>
      </c>
      <c r="G38" s="2">
        <v>46064</v>
      </c>
      <c r="H38" s="2">
        <v>46090</v>
      </c>
      <c r="I38" t="s">
        <v>54</v>
      </c>
      <c r="J38" t="s">
        <v>55</v>
      </c>
      <c r="K38" t="s">
        <v>7</v>
      </c>
      <c r="L38" t="s">
        <v>8</v>
      </c>
      <c r="M38" s="3">
        <v>61250</v>
      </c>
      <c r="N38" s="3" t="s">
        <v>464</v>
      </c>
      <c r="O38" t="s">
        <v>161</v>
      </c>
      <c r="P38" t="s">
        <v>162</v>
      </c>
      <c r="Q38" t="s">
        <v>161</v>
      </c>
      <c r="R38" t="s">
        <v>161</v>
      </c>
      <c r="S38" t="s">
        <v>161</v>
      </c>
      <c r="T38" s="11" t="s">
        <v>178</v>
      </c>
      <c r="U38" s="11" t="s">
        <v>179</v>
      </c>
      <c r="V38" t="s">
        <v>9</v>
      </c>
      <c r="W38" t="s">
        <v>10</v>
      </c>
      <c r="X38" t="s">
        <v>0</v>
      </c>
      <c r="Y38" s="2"/>
      <c r="Z38" t="s">
        <v>11</v>
      </c>
      <c r="AA38" t="s">
        <v>0</v>
      </c>
      <c r="AB38" t="s">
        <v>14</v>
      </c>
      <c r="AC38" t="s">
        <v>16</v>
      </c>
      <c r="AD38" t="s">
        <v>0</v>
      </c>
      <c r="AE38" t="s">
        <v>0</v>
      </c>
      <c r="AF38" t="s">
        <v>0</v>
      </c>
    </row>
    <row r="39" spans="1:32" ht="25" x14ac:dyDescent="0.25">
      <c r="A39" s="2">
        <v>46097</v>
      </c>
      <c r="B39" t="s">
        <v>180</v>
      </c>
      <c r="C39" t="s">
        <v>172</v>
      </c>
      <c r="D39" t="s">
        <v>181</v>
      </c>
      <c r="E39" t="s">
        <v>181</v>
      </c>
      <c r="F39" t="s">
        <v>4</v>
      </c>
      <c r="G39" s="2">
        <v>46064</v>
      </c>
      <c r="H39" s="2">
        <v>46090</v>
      </c>
      <c r="I39" t="s">
        <v>54</v>
      </c>
      <c r="J39" t="s">
        <v>55</v>
      </c>
      <c r="K39" t="s">
        <v>7</v>
      </c>
      <c r="L39" t="s">
        <v>8</v>
      </c>
      <c r="M39" s="3">
        <v>61250</v>
      </c>
      <c r="N39" s="3" t="s">
        <v>464</v>
      </c>
      <c r="O39" t="s">
        <v>161</v>
      </c>
      <c r="P39" t="s">
        <v>162</v>
      </c>
      <c r="Q39" t="s">
        <v>161</v>
      </c>
      <c r="R39" t="s">
        <v>161</v>
      </c>
      <c r="S39" t="s">
        <v>161</v>
      </c>
      <c r="T39" s="11" t="s">
        <v>182</v>
      </c>
      <c r="U39" s="11" t="s">
        <v>183</v>
      </c>
      <c r="V39" t="s">
        <v>9</v>
      </c>
      <c r="W39" t="s">
        <v>10</v>
      </c>
      <c r="X39" t="s">
        <v>0</v>
      </c>
      <c r="Y39" s="2"/>
      <c r="Z39" t="s">
        <v>11</v>
      </c>
      <c r="AA39" t="s">
        <v>0</v>
      </c>
      <c r="AB39" t="s">
        <v>14</v>
      </c>
      <c r="AC39" t="s">
        <v>16</v>
      </c>
      <c r="AD39" t="s">
        <v>0</v>
      </c>
      <c r="AE39" t="s">
        <v>0</v>
      </c>
      <c r="AF39" t="s">
        <v>0</v>
      </c>
    </row>
    <row r="40" spans="1:32" ht="25" x14ac:dyDescent="0.25">
      <c r="A40" s="2">
        <v>46097</v>
      </c>
      <c r="B40" t="s">
        <v>184</v>
      </c>
      <c r="C40" t="s">
        <v>172</v>
      </c>
      <c r="D40" t="s">
        <v>185</v>
      </c>
      <c r="E40" t="s">
        <v>185</v>
      </c>
      <c r="F40" t="s">
        <v>4</v>
      </c>
      <c r="G40" s="2">
        <v>46077</v>
      </c>
      <c r="H40" s="2">
        <v>46090</v>
      </c>
      <c r="I40" t="s">
        <v>54</v>
      </c>
      <c r="J40" t="s">
        <v>55</v>
      </c>
      <c r="K40" t="s">
        <v>7</v>
      </c>
      <c r="L40" t="s">
        <v>8</v>
      </c>
      <c r="M40" s="3">
        <v>250000</v>
      </c>
      <c r="N40" s="3" t="s">
        <v>464</v>
      </c>
      <c r="O40" t="s">
        <v>12</v>
      </c>
      <c r="P40" t="s">
        <v>162</v>
      </c>
      <c r="Q40" t="s">
        <v>12</v>
      </c>
      <c r="R40" t="s">
        <v>12</v>
      </c>
      <c r="S40" t="s">
        <v>12</v>
      </c>
      <c r="T40" s="11" t="s">
        <v>186</v>
      </c>
      <c r="U40" s="11" t="s">
        <v>187</v>
      </c>
      <c r="V40" t="s">
        <v>9</v>
      </c>
      <c r="W40" t="s">
        <v>10</v>
      </c>
      <c r="X40" t="s">
        <v>0</v>
      </c>
      <c r="Y40" s="2"/>
      <c r="Z40" t="s">
        <v>11</v>
      </c>
      <c r="AA40" t="s">
        <v>0</v>
      </c>
      <c r="AB40" t="s">
        <v>14</v>
      </c>
      <c r="AC40" t="s">
        <v>16</v>
      </c>
      <c r="AD40" t="s">
        <v>0</v>
      </c>
      <c r="AE40" t="s">
        <v>0</v>
      </c>
      <c r="AF40" t="s">
        <v>0</v>
      </c>
    </row>
    <row r="41" spans="1:32" ht="25" x14ac:dyDescent="0.25">
      <c r="A41" s="2">
        <v>46099</v>
      </c>
      <c r="B41" t="s">
        <v>188</v>
      </c>
      <c r="C41" t="s">
        <v>72</v>
      </c>
      <c r="D41" t="s">
        <v>189</v>
      </c>
      <c r="E41" t="s">
        <v>189</v>
      </c>
      <c r="F41" t="s">
        <v>4</v>
      </c>
      <c r="G41" s="2">
        <v>46077</v>
      </c>
      <c r="H41" s="2">
        <v>46099</v>
      </c>
      <c r="I41" t="s">
        <v>54</v>
      </c>
      <c r="J41" t="s">
        <v>55</v>
      </c>
      <c r="K41" t="s">
        <v>7</v>
      </c>
      <c r="L41" t="s">
        <v>8</v>
      </c>
      <c r="M41" s="3">
        <v>1639627.33</v>
      </c>
      <c r="N41" s="3" t="s">
        <v>464</v>
      </c>
      <c r="O41" t="s">
        <v>190</v>
      </c>
      <c r="P41" t="s">
        <v>162</v>
      </c>
      <c r="Q41" t="s">
        <v>190</v>
      </c>
      <c r="R41" t="s">
        <v>190</v>
      </c>
      <c r="S41" t="s">
        <v>190</v>
      </c>
      <c r="T41" s="11" t="s">
        <v>191</v>
      </c>
      <c r="U41" s="11" t="s">
        <v>170</v>
      </c>
      <c r="V41" t="s">
        <v>9</v>
      </c>
      <c r="W41" t="s">
        <v>10</v>
      </c>
      <c r="X41" t="s">
        <v>0</v>
      </c>
      <c r="Y41" s="2"/>
      <c r="Z41" t="s">
        <v>11</v>
      </c>
      <c r="AA41" t="s">
        <v>0</v>
      </c>
      <c r="AB41" t="s">
        <v>14</v>
      </c>
      <c r="AC41" t="s">
        <v>16</v>
      </c>
      <c r="AD41" t="s">
        <v>0</v>
      </c>
      <c r="AE41" t="s">
        <v>0</v>
      </c>
      <c r="AF41" t="s">
        <v>0</v>
      </c>
    </row>
    <row r="42" spans="1:32" ht="25" x14ac:dyDescent="0.25">
      <c r="A42" s="2">
        <v>46111</v>
      </c>
      <c r="B42" t="s">
        <v>192</v>
      </c>
      <c r="C42" t="s">
        <v>193</v>
      </c>
      <c r="D42" t="s">
        <v>194</v>
      </c>
      <c r="E42" t="s">
        <v>194</v>
      </c>
      <c r="F42" t="s">
        <v>4</v>
      </c>
      <c r="G42" s="2">
        <v>46085</v>
      </c>
      <c r="H42" s="2">
        <v>46107</v>
      </c>
      <c r="I42" t="s">
        <v>54</v>
      </c>
      <c r="J42" t="s">
        <v>55</v>
      </c>
      <c r="K42" t="s">
        <v>7</v>
      </c>
      <c r="L42" t="s">
        <v>8</v>
      </c>
      <c r="M42" s="3">
        <v>77644.83</v>
      </c>
      <c r="N42" s="3" t="s">
        <v>464</v>
      </c>
      <c r="O42" t="s">
        <v>161</v>
      </c>
      <c r="P42" t="s">
        <v>162</v>
      </c>
      <c r="Q42" t="s">
        <v>161</v>
      </c>
      <c r="R42" t="s">
        <v>161</v>
      </c>
      <c r="S42" t="s">
        <v>161</v>
      </c>
      <c r="T42" s="11" t="s">
        <v>195</v>
      </c>
      <c r="U42" s="11" t="s">
        <v>196</v>
      </c>
      <c r="V42" t="s">
        <v>9</v>
      </c>
      <c r="W42" t="s">
        <v>10</v>
      </c>
      <c r="X42" t="s">
        <v>0</v>
      </c>
      <c r="Y42" s="2"/>
      <c r="Z42" t="s">
        <v>11</v>
      </c>
      <c r="AA42" t="s">
        <v>0</v>
      </c>
      <c r="AB42" t="s">
        <v>14</v>
      </c>
      <c r="AC42" t="s">
        <v>16</v>
      </c>
      <c r="AD42" t="s">
        <v>0</v>
      </c>
      <c r="AE42" t="s">
        <v>0</v>
      </c>
      <c r="AF42" t="s">
        <v>0</v>
      </c>
    </row>
    <row r="43" spans="1:32" ht="25" x14ac:dyDescent="0.25">
      <c r="A43" s="2">
        <v>46111</v>
      </c>
      <c r="B43" t="s">
        <v>197</v>
      </c>
      <c r="C43" t="s">
        <v>193</v>
      </c>
      <c r="D43" t="s">
        <v>198</v>
      </c>
      <c r="E43" t="s">
        <v>198</v>
      </c>
      <c r="F43" t="s">
        <v>4</v>
      </c>
      <c r="G43" s="2">
        <v>46083</v>
      </c>
      <c r="H43" s="2">
        <v>46107</v>
      </c>
      <c r="I43" t="s">
        <v>54</v>
      </c>
      <c r="J43" t="s">
        <v>55</v>
      </c>
      <c r="K43" t="s">
        <v>7</v>
      </c>
      <c r="L43" t="s">
        <v>8</v>
      </c>
      <c r="M43" s="3">
        <v>16848</v>
      </c>
      <c r="N43" s="3" t="s">
        <v>464</v>
      </c>
      <c r="O43" t="s">
        <v>199</v>
      </c>
      <c r="P43" t="s">
        <v>162</v>
      </c>
      <c r="Q43" t="s">
        <v>199</v>
      </c>
      <c r="R43" t="s">
        <v>199</v>
      </c>
      <c r="S43" t="s">
        <v>199</v>
      </c>
      <c r="T43" s="11" t="s">
        <v>200</v>
      </c>
      <c r="U43" s="11" t="s">
        <v>201</v>
      </c>
      <c r="V43" t="s">
        <v>9</v>
      </c>
      <c r="W43" t="s">
        <v>10</v>
      </c>
      <c r="X43" t="s">
        <v>0</v>
      </c>
      <c r="Y43" s="2"/>
      <c r="Z43" t="s">
        <v>11</v>
      </c>
      <c r="AA43" t="s">
        <v>0</v>
      </c>
      <c r="AB43" t="s">
        <v>14</v>
      </c>
      <c r="AC43" t="s">
        <v>16</v>
      </c>
      <c r="AD43" t="s">
        <v>0</v>
      </c>
      <c r="AE43" t="s">
        <v>0</v>
      </c>
      <c r="AF43" t="s">
        <v>0</v>
      </c>
    </row>
    <row r="44" spans="1:32" ht="25" x14ac:dyDescent="0.25">
      <c r="A44" s="2">
        <v>46150</v>
      </c>
      <c r="B44" t="s">
        <v>198</v>
      </c>
      <c r="C44" t="s">
        <v>202</v>
      </c>
      <c r="D44" t="s">
        <v>203</v>
      </c>
      <c r="E44" t="s">
        <v>203</v>
      </c>
      <c r="F44" t="s">
        <v>83</v>
      </c>
      <c r="G44" s="2">
        <v>46099</v>
      </c>
      <c r="H44" s="2">
        <v>46107</v>
      </c>
      <c r="I44" t="s">
        <v>54</v>
      </c>
      <c r="J44" t="s">
        <v>55</v>
      </c>
      <c r="K44" t="s">
        <v>7</v>
      </c>
      <c r="L44" t="s">
        <v>84</v>
      </c>
      <c r="M44" s="3">
        <v>-16848</v>
      </c>
      <c r="N44" s="3" t="s">
        <v>466</v>
      </c>
      <c r="O44" t="s">
        <v>199</v>
      </c>
      <c r="P44" t="s">
        <v>162</v>
      </c>
      <c r="Q44" t="s">
        <v>199</v>
      </c>
      <c r="R44" t="s">
        <v>0</v>
      </c>
      <c r="S44" t="s">
        <v>199</v>
      </c>
      <c r="T44" s="11" t="s">
        <v>204</v>
      </c>
      <c r="U44" s="11" t="s">
        <v>205</v>
      </c>
      <c r="V44" t="s">
        <v>9</v>
      </c>
      <c r="W44" t="s">
        <v>10</v>
      </c>
      <c r="X44" t="s">
        <v>0</v>
      </c>
      <c r="Y44" s="2"/>
      <c r="Z44" t="s">
        <v>11</v>
      </c>
      <c r="AA44" t="s">
        <v>0</v>
      </c>
      <c r="AB44" t="s">
        <v>14</v>
      </c>
      <c r="AC44" t="s">
        <v>16</v>
      </c>
      <c r="AD44" t="s">
        <v>206</v>
      </c>
      <c r="AE44" t="s">
        <v>0</v>
      </c>
      <c r="AF44" t="s">
        <v>0</v>
      </c>
    </row>
    <row r="45" spans="1:32" ht="25" x14ac:dyDescent="0.25">
      <c r="A45" s="2">
        <v>46149</v>
      </c>
      <c r="B45" t="s">
        <v>194</v>
      </c>
      <c r="C45" t="s">
        <v>207</v>
      </c>
      <c r="D45" t="s">
        <v>208</v>
      </c>
      <c r="E45" t="s">
        <v>208</v>
      </c>
      <c r="F45" t="s">
        <v>83</v>
      </c>
      <c r="G45" s="2">
        <v>46099</v>
      </c>
      <c r="H45" s="2">
        <v>46107</v>
      </c>
      <c r="I45" t="s">
        <v>54</v>
      </c>
      <c r="J45" t="s">
        <v>55</v>
      </c>
      <c r="K45" t="s">
        <v>7</v>
      </c>
      <c r="L45" t="s">
        <v>84</v>
      </c>
      <c r="M45" s="3">
        <v>-77644.83</v>
      </c>
      <c r="N45" s="3" t="s">
        <v>466</v>
      </c>
      <c r="O45" t="s">
        <v>161</v>
      </c>
      <c r="P45" t="s">
        <v>162</v>
      </c>
      <c r="Q45" t="s">
        <v>161</v>
      </c>
      <c r="R45" t="s">
        <v>0</v>
      </c>
      <c r="S45" t="s">
        <v>161</v>
      </c>
      <c r="T45" s="11" t="s">
        <v>209</v>
      </c>
      <c r="U45" s="11" t="s">
        <v>210</v>
      </c>
      <c r="V45" t="s">
        <v>9</v>
      </c>
      <c r="W45" t="s">
        <v>10</v>
      </c>
      <c r="X45" t="s">
        <v>0</v>
      </c>
      <c r="Y45" s="2"/>
      <c r="Z45" t="s">
        <v>11</v>
      </c>
      <c r="AA45" t="s">
        <v>0</v>
      </c>
      <c r="AB45" t="s">
        <v>14</v>
      </c>
      <c r="AC45" t="s">
        <v>16</v>
      </c>
      <c r="AD45" t="s">
        <v>211</v>
      </c>
      <c r="AE45" t="s">
        <v>0</v>
      </c>
      <c r="AF45" t="s">
        <v>0</v>
      </c>
    </row>
    <row r="46" spans="1:32" ht="25" x14ac:dyDescent="0.25">
      <c r="A46" s="2">
        <v>46154</v>
      </c>
      <c r="B46" t="s">
        <v>212</v>
      </c>
      <c r="C46" t="s">
        <v>213</v>
      </c>
      <c r="D46" t="s">
        <v>214</v>
      </c>
      <c r="E46" t="s">
        <v>214</v>
      </c>
      <c r="F46" t="s">
        <v>83</v>
      </c>
      <c r="G46" s="2">
        <v>46053</v>
      </c>
      <c r="H46" s="2">
        <v>46053</v>
      </c>
      <c r="I46" t="s">
        <v>5</v>
      </c>
      <c r="J46" t="s">
        <v>6</v>
      </c>
      <c r="K46" t="s">
        <v>7</v>
      </c>
      <c r="L46" t="s">
        <v>84</v>
      </c>
      <c r="M46" s="3">
        <v>-280000</v>
      </c>
      <c r="N46" s="3" t="s">
        <v>466</v>
      </c>
      <c r="O46" t="s">
        <v>12</v>
      </c>
      <c r="P46" t="s">
        <v>162</v>
      </c>
      <c r="Q46" t="s">
        <v>12</v>
      </c>
      <c r="R46" t="s">
        <v>0</v>
      </c>
      <c r="S46" t="s">
        <v>12</v>
      </c>
      <c r="T46" s="11" t="s">
        <v>215</v>
      </c>
      <c r="U46" s="11" t="s">
        <v>210</v>
      </c>
      <c r="V46" t="s">
        <v>9</v>
      </c>
      <c r="W46" t="s">
        <v>10</v>
      </c>
      <c r="X46" t="s">
        <v>0</v>
      </c>
      <c r="Y46" s="2"/>
      <c r="Z46" t="s">
        <v>11</v>
      </c>
      <c r="AA46" t="s">
        <v>0</v>
      </c>
      <c r="AB46" t="s">
        <v>14</v>
      </c>
      <c r="AC46" t="s">
        <v>16</v>
      </c>
      <c r="AD46" t="s">
        <v>216</v>
      </c>
      <c r="AE46" t="s">
        <v>0</v>
      </c>
      <c r="AF46" t="s">
        <v>0</v>
      </c>
    </row>
    <row r="47" spans="1:32" ht="25" x14ac:dyDescent="0.25">
      <c r="A47" s="2">
        <v>46154</v>
      </c>
      <c r="B47" t="s">
        <v>212</v>
      </c>
      <c r="C47" t="s">
        <v>213</v>
      </c>
      <c r="D47" t="s">
        <v>217</v>
      </c>
      <c r="E47" t="s">
        <v>217</v>
      </c>
      <c r="F47" t="s">
        <v>83</v>
      </c>
      <c r="G47" s="2">
        <v>46081</v>
      </c>
      <c r="H47" s="2">
        <v>46081</v>
      </c>
      <c r="I47" t="s">
        <v>94</v>
      </c>
      <c r="J47" t="s">
        <v>95</v>
      </c>
      <c r="K47" t="s">
        <v>7</v>
      </c>
      <c r="L47" t="s">
        <v>84</v>
      </c>
      <c r="M47" s="3">
        <v>-108000</v>
      </c>
      <c r="N47" s="3" t="s">
        <v>466</v>
      </c>
      <c r="O47" t="s">
        <v>12</v>
      </c>
      <c r="P47" t="s">
        <v>162</v>
      </c>
      <c r="Q47" t="s">
        <v>12</v>
      </c>
      <c r="R47" t="s">
        <v>0</v>
      </c>
      <c r="S47" t="s">
        <v>12</v>
      </c>
      <c r="T47" s="11" t="s">
        <v>218</v>
      </c>
      <c r="U47" s="11" t="s">
        <v>210</v>
      </c>
      <c r="V47" t="s">
        <v>9</v>
      </c>
      <c r="W47" t="s">
        <v>10</v>
      </c>
      <c r="X47" t="s">
        <v>0</v>
      </c>
      <c r="Y47" s="2"/>
      <c r="Z47" t="s">
        <v>11</v>
      </c>
      <c r="AA47" t="s">
        <v>0</v>
      </c>
      <c r="AB47" t="s">
        <v>14</v>
      </c>
      <c r="AC47" t="s">
        <v>16</v>
      </c>
      <c r="AD47" t="s">
        <v>219</v>
      </c>
      <c r="AE47" t="s">
        <v>0</v>
      </c>
      <c r="AF47" t="s">
        <v>0</v>
      </c>
    </row>
    <row r="48" spans="1:32" ht="25" x14ac:dyDescent="0.25">
      <c r="A48" s="2">
        <v>46154</v>
      </c>
      <c r="B48" t="s">
        <v>212</v>
      </c>
      <c r="C48" t="s">
        <v>213</v>
      </c>
      <c r="D48" t="s">
        <v>220</v>
      </c>
      <c r="E48" t="s">
        <v>220</v>
      </c>
      <c r="F48" t="s">
        <v>83</v>
      </c>
      <c r="G48" s="2">
        <v>46112</v>
      </c>
      <c r="H48" s="2">
        <v>46112</v>
      </c>
      <c r="I48" t="s">
        <v>54</v>
      </c>
      <c r="J48" t="s">
        <v>55</v>
      </c>
      <c r="K48" t="s">
        <v>7</v>
      </c>
      <c r="L48" t="s">
        <v>84</v>
      </c>
      <c r="M48" s="3">
        <v>-80000</v>
      </c>
      <c r="N48" s="3" t="s">
        <v>466</v>
      </c>
      <c r="O48" t="s">
        <v>12</v>
      </c>
      <c r="P48" t="s">
        <v>162</v>
      </c>
      <c r="Q48" t="s">
        <v>12</v>
      </c>
      <c r="R48" t="s">
        <v>0</v>
      </c>
      <c r="S48" t="s">
        <v>12</v>
      </c>
      <c r="T48" s="11" t="s">
        <v>221</v>
      </c>
      <c r="U48" s="11" t="s">
        <v>210</v>
      </c>
      <c r="V48" t="s">
        <v>9</v>
      </c>
      <c r="W48" t="s">
        <v>10</v>
      </c>
      <c r="X48" t="s">
        <v>0</v>
      </c>
      <c r="Y48" s="2"/>
      <c r="Z48" t="s">
        <v>11</v>
      </c>
      <c r="AA48" t="s">
        <v>0</v>
      </c>
      <c r="AB48" t="s">
        <v>14</v>
      </c>
      <c r="AC48" t="s">
        <v>16</v>
      </c>
      <c r="AD48" t="s">
        <v>222</v>
      </c>
      <c r="AE48" t="s">
        <v>0</v>
      </c>
      <c r="AF48" t="s">
        <v>0</v>
      </c>
    </row>
    <row r="49" spans="1:32" ht="25" x14ac:dyDescent="0.25">
      <c r="A49" s="2">
        <v>46154</v>
      </c>
      <c r="B49" t="s">
        <v>223</v>
      </c>
      <c r="C49" t="s">
        <v>224</v>
      </c>
      <c r="D49" t="s">
        <v>225</v>
      </c>
      <c r="E49" t="s">
        <v>225</v>
      </c>
      <c r="F49" t="s">
        <v>83</v>
      </c>
      <c r="G49" s="2">
        <v>46112</v>
      </c>
      <c r="H49" s="2">
        <v>46112</v>
      </c>
      <c r="I49" t="s">
        <v>54</v>
      </c>
      <c r="J49" t="s">
        <v>55</v>
      </c>
      <c r="K49" t="s">
        <v>7</v>
      </c>
      <c r="L49" t="s">
        <v>84</v>
      </c>
      <c r="M49" s="3">
        <v>-128245.7</v>
      </c>
      <c r="N49" s="3" t="s">
        <v>466</v>
      </c>
      <c r="O49" t="s">
        <v>19</v>
      </c>
      <c r="P49" t="s">
        <v>162</v>
      </c>
      <c r="Q49" t="s">
        <v>19</v>
      </c>
      <c r="R49" t="s">
        <v>0</v>
      </c>
      <c r="S49" t="s">
        <v>19</v>
      </c>
      <c r="T49" s="11" t="s">
        <v>227</v>
      </c>
      <c r="U49" s="11" t="s">
        <v>228</v>
      </c>
      <c r="V49" t="s">
        <v>9</v>
      </c>
      <c r="W49" t="s">
        <v>226</v>
      </c>
      <c r="X49" t="s">
        <v>0</v>
      </c>
      <c r="Y49" s="2"/>
      <c r="Z49" t="s">
        <v>11</v>
      </c>
      <c r="AA49" t="s">
        <v>0</v>
      </c>
      <c r="AB49" t="s">
        <v>14</v>
      </c>
      <c r="AC49" t="s">
        <v>16</v>
      </c>
      <c r="AD49" t="s">
        <v>229</v>
      </c>
      <c r="AE49" t="s">
        <v>0</v>
      </c>
      <c r="AF49" t="s">
        <v>0</v>
      </c>
    </row>
    <row r="50" spans="1:32" ht="25" x14ac:dyDescent="0.25">
      <c r="A50" s="2">
        <v>46154</v>
      </c>
      <c r="B50" t="s">
        <v>230</v>
      </c>
      <c r="C50" t="s">
        <v>231</v>
      </c>
      <c r="D50" t="s">
        <v>232</v>
      </c>
      <c r="E50" t="s">
        <v>232</v>
      </c>
      <c r="F50" t="s">
        <v>83</v>
      </c>
      <c r="G50" s="2">
        <v>46112</v>
      </c>
      <c r="H50" s="2">
        <v>46112</v>
      </c>
      <c r="I50" t="s">
        <v>54</v>
      </c>
      <c r="J50" t="s">
        <v>55</v>
      </c>
      <c r="K50" t="s">
        <v>7</v>
      </c>
      <c r="L50" t="s">
        <v>84</v>
      </c>
      <c r="M50" s="3">
        <v>-19577.599999999999</v>
      </c>
      <c r="N50" s="3" t="s">
        <v>466</v>
      </c>
      <c r="O50" t="s">
        <v>12</v>
      </c>
      <c r="P50" t="s">
        <v>162</v>
      </c>
      <c r="Q50" t="s">
        <v>12</v>
      </c>
      <c r="R50" t="s">
        <v>0</v>
      </c>
      <c r="S50" t="s">
        <v>12</v>
      </c>
      <c r="T50" s="11" t="s">
        <v>233</v>
      </c>
      <c r="U50" s="11" t="s">
        <v>228</v>
      </c>
      <c r="V50" t="s">
        <v>9</v>
      </c>
      <c r="W50" t="s">
        <v>10</v>
      </c>
      <c r="X50" t="s">
        <v>0</v>
      </c>
      <c r="Y50" s="2"/>
      <c r="Z50" t="s">
        <v>11</v>
      </c>
      <c r="AA50" t="s">
        <v>0</v>
      </c>
      <c r="AB50" t="s">
        <v>14</v>
      </c>
      <c r="AC50" t="s">
        <v>16</v>
      </c>
      <c r="AD50" t="s">
        <v>234</v>
      </c>
      <c r="AE50" t="s">
        <v>0</v>
      </c>
      <c r="AF50" t="s">
        <v>0</v>
      </c>
    </row>
    <row r="51" spans="1:32" ht="25" x14ac:dyDescent="0.25">
      <c r="A51" s="2">
        <v>46154</v>
      </c>
      <c r="B51" t="s">
        <v>230</v>
      </c>
      <c r="C51" t="s">
        <v>231</v>
      </c>
      <c r="D51" t="s">
        <v>235</v>
      </c>
      <c r="E51" t="s">
        <v>235</v>
      </c>
      <c r="F51" t="s">
        <v>83</v>
      </c>
      <c r="G51" s="2">
        <v>46112</v>
      </c>
      <c r="H51" s="2">
        <v>46112</v>
      </c>
      <c r="I51" t="s">
        <v>54</v>
      </c>
      <c r="J51" t="s">
        <v>55</v>
      </c>
      <c r="K51" t="s">
        <v>7</v>
      </c>
      <c r="L51" t="s">
        <v>84</v>
      </c>
      <c r="M51" s="3">
        <v>-19577.599999999999</v>
      </c>
      <c r="N51" s="3" t="s">
        <v>466</v>
      </c>
      <c r="O51" t="s">
        <v>12</v>
      </c>
      <c r="P51" t="s">
        <v>162</v>
      </c>
      <c r="Q51" t="s">
        <v>12</v>
      </c>
      <c r="R51" t="s">
        <v>0</v>
      </c>
      <c r="S51" t="s">
        <v>12</v>
      </c>
      <c r="T51" s="11" t="s">
        <v>236</v>
      </c>
      <c r="U51" s="11" t="s">
        <v>228</v>
      </c>
      <c r="V51" t="s">
        <v>9</v>
      </c>
      <c r="W51" t="s">
        <v>10</v>
      </c>
      <c r="X51" t="s">
        <v>0</v>
      </c>
      <c r="Y51" s="2"/>
      <c r="Z51" t="s">
        <v>11</v>
      </c>
      <c r="AA51" t="s">
        <v>0</v>
      </c>
      <c r="AB51" t="s">
        <v>14</v>
      </c>
      <c r="AC51" t="s">
        <v>16</v>
      </c>
      <c r="AD51" t="s">
        <v>237</v>
      </c>
      <c r="AE51" t="s">
        <v>0</v>
      </c>
      <c r="AF51" t="s">
        <v>0</v>
      </c>
    </row>
    <row r="52" spans="1:32" x14ac:dyDescent="0.25">
      <c r="A52" s="5"/>
      <c r="B52" s="4" t="s">
        <v>0</v>
      </c>
      <c r="C52" s="4" t="s">
        <v>0</v>
      </c>
      <c r="D52" s="4" t="s">
        <v>0</v>
      </c>
      <c r="E52" s="4" t="s">
        <v>0</v>
      </c>
      <c r="F52" s="4" t="s">
        <v>0</v>
      </c>
      <c r="G52" s="5"/>
      <c r="H52" s="5"/>
      <c r="I52" s="4" t="s">
        <v>0</v>
      </c>
      <c r="J52" s="4" t="s">
        <v>0</v>
      </c>
      <c r="K52" s="4" t="s">
        <v>0</v>
      </c>
      <c r="L52" s="4" t="s">
        <v>0</v>
      </c>
      <c r="M52" s="6">
        <v>3438031.43</v>
      </c>
      <c r="N52" s="6"/>
      <c r="O52" s="4" t="s">
        <v>0</v>
      </c>
      <c r="P52" s="4" t="s">
        <v>162</v>
      </c>
      <c r="Q52" s="4" t="s">
        <v>0</v>
      </c>
      <c r="R52" s="4" t="s">
        <v>0</v>
      </c>
      <c r="S52" s="4" t="s">
        <v>0</v>
      </c>
      <c r="T52" s="12" t="s">
        <v>0</v>
      </c>
      <c r="U52" s="12" t="s">
        <v>0</v>
      </c>
      <c r="V52" s="4" t="s">
        <v>9</v>
      </c>
      <c r="W52" s="4" t="s">
        <v>0</v>
      </c>
      <c r="X52" s="4" t="s">
        <v>0</v>
      </c>
      <c r="Y52" s="5"/>
      <c r="Z52" s="4" t="s">
        <v>0</v>
      </c>
      <c r="AA52" s="4" t="s">
        <v>0</v>
      </c>
      <c r="AB52" s="4" t="s">
        <v>0</v>
      </c>
      <c r="AC52" s="4" t="s">
        <v>0</v>
      </c>
      <c r="AD52" s="4" t="s">
        <v>0</v>
      </c>
      <c r="AE52" s="4" t="s">
        <v>0</v>
      </c>
      <c r="AF52" s="4" t="s">
        <v>0</v>
      </c>
    </row>
    <row r="53" spans="1:32" ht="25" x14ac:dyDescent="0.25">
      <c r="A53" s="2">
        <v>46052</v>
      </c>
      <c r="B53" t="s">
        <v>238</v>
      </c>
      <c r="C53" t="s">
        <v>239</v>
      </c>
      <c r="D53" t="s">
        <v>240</v>
      </c>
      <c r="E53" t="s">
        <v>240</v>
      </c>
      <c r="F53" t="s">
        <v>4</v>
      </c>
      <c r="G53" s="2">
        <v>46038</v>
      </c>
      <c r="H53" s="2">
        <v>46052</v>
      </c>
      <c r="I53" t="s">
        <v>5</v>
      </c>
      <c r="J53" t="s">
        <v>6</v>
      </c>
      <c r="K53" t="s">
        <v>7</v>
      </c>
      <c r="L53" t="s">
        <v>8</v>
      </c>
      <c r="M53" s="3">
        <v>108000</v>
      </c>
      <c r="N53" s="3" t="s">
        <v>464</v>
      </c>
      <c r="O53" t="s">
        <v>199</v>
      </c>
      <c r="P53" t="s">
        <v>241</v>
      </c>
      <c r="Q53" t="s">
        <v>199</v>
      </c>
      <c r="R53" t="s">
        <v>199</v>
      </c>
      <c r="S53" t="s">
        <v>199</v>
      </c>
      <c r="T53" s="11" t="s">
        <v>242</v>
      </c>
      <c r="U53" s="11" t="s">
        <v>243</v>
      </c>
      <c r="V53" t="s">
        <v>9</v>
      </c>
      <c r="W53" t="s">
        <v>10</v>
      </c>
      <c r="X53" t="s">
        <v>0</v>
      </c>
      <c r="Y53" s="2"/>
      <c r="Z53" t="s">
        <v>11</v>
      </c>
      <c r="AA53" t="s">
        <v>0</v>
      </c>
      <c r="AB53" t="s">
        <v>14</v>
      </c>
      <c r="AC53" t="s">
        <v>16</v>
      </c>
      <c r="AD53" t="s">
        <v>0</v>
      </c>
      <c r="AE53" t="s">
        <v>0</v>
      </c>
      <c r="AF53" t="s">
        <v>0</v>
      </c>
    </row>
    <row r="54" spans="1:32" ht="25" x14ac:dyDescent="0.25">
      <c r="A54" s="2">
        <v>46073</v>
      </c>
      <c r="B54" t="s">
        <v>244</v>
      </c>
      <c r="C54" t="s">
        <v>2</v>
      </c>
      <c r="D54" t="s">
        <v>245</v>
      </c>
      <c r="E54" t="s">
        <v>245</v>
      </c>
      <c r="F54" t="s">
        <v>4</v>
      </c>
      <c r="G54" s="2">
        <v>46049</v>
      </c>
      <c r="H54" s="2">
        <v>46053</v>
      </c>
      <c r="I54" t="s">
        <v>5</v>
      </c>
      <c r="J54" t="s">
        <v>6</v>
      </c>
      <c r="K54" t="s">
        <v>7</v>
      </c>
      <c r="L54" t="s">
        <v>8</v>
      </c>
      <c r="M54" s="3">
        <v>100000</v>
      </c>
      <c r="N54" s="3" t="s">
        <v>464</v>
      </c>
      <c r="O54" t="s">
        <v>12</v>
      </c>
      <c r="P54" t="s">
        <v>241</v>
      </c>
      <c r="Q54" t="s">
        <v>12</v>
      </c>
      <c r="R54" t="s">
        <v>12</v>
      </c>
      <c r="S54" t="s">
        <v>12</v>
      </c>
      <c r="T54" s="11" t="s">
        <v>246</v>
      </c>
      <c r="U54" s="11" t="s">
        <v>247</v>
      </c>
      <c r="V54" t="s">
        <v>9</v>
      </c>
      <c r="W54" t="s">
        <v>10</v>
      </c>
      <c r="X54" t="s">
        <v>0</v>
      </c>
      <c r="Y54" s="2"/>
      <c r="Z54" t="s">
        <v>11</v>
      </c>
      <c r="AA54" t="s">
        <v>0</v>
      </c>
      <c r="AB54" t="s">
        <v>14</v>
      </c>
      <c r="AC54" t="s">
        <v>16</v>
      </c>
      <c r="AD54" t="s">
        <v>0</v>
      </c>
      <c r="AE54" t="s">
        <v>0</v>
      </c>
      <c r="AF54" t="s">
        <v>0</v>
      </c>
    </row>
    <row r="55" spans="1:32" ht="25" x14ac:dyDescent="0.25">
      <c r="A55" s="2">
        <v>46111</v>
      </c>
      <c r="B55" t="s">
        <v>248</v>
      </c>
      <c r="C55" t="s">
        <v>193</v>
      </c>
      <c r="D55" t="s">
        <v>249</v>
      </c>
      <c r="E55" t="s">
        <v>249</v>
      </c>
      <c r="F55" t="s">
        <v>4</v>
      </c>
      <c r="G55" s="2">
        <v>46084</v>
      </c>
      <c r="H55" s="2">
        <v>46107</v>
      </c>
      <c r="I55" t="s">
        <v>54</v>
      </c>
      <c r="J55" t="s">
        <v>55</v>
      </c>
      <c r="K55" t="s">
        <v>7</v>
      </c>
      <c r="L55" t="s">
        <v>8</v>
      </c>
      <c r="M55" s="3">
        <v>245200</v>
      </c>
      <c r="N55" s="3" t="s">
        <v>464</v>
      </c>
      <c r="O55" s="22" t="s">
        <v>78</v>
      </c>
      <c r="P55" t="s">
        <v>241</v>
      </c>
      <c r="Q55" s="20" t="s">
        <v>250</v>
      </c>
      <c r="R55" s="20" t="s">
        <v>250</v>
      </c>
      <c r="S55" s="20" t="s">
        <v>250</v>
      </c>
      <c r="T55" s="11" t="s">
        <v>251</v>
      </c>
      <c r="U55" s="11" t="s">
        <v>252</v>
      </c>
      <c r="V55" t="s">
        <v>9</v>
      </c>
      <c r="W55" t="s">
        <v>10</v>
      </c>
      <c r="X55" t="s">
        <v>0</v>
      </c>
      <c r="Y55" s="2"/>
      <c r="Z55" t="s">
        <v>11</v>
      </c>
      <c r="AA55" t="s">
        <v>0</v>
      </c>
      <c r="AB55" t="s">
        <v>14</v>
      </c>
      <c r="AC55" t="s">
        <v>16</v>
      </c>
      <c r="AD55" t="s">
        <v>0</v>
      </c>
      <c r="AE55" t="s">
        <v>0</v>
      </c>
      <c r="AF55" t="s">
        <v>0</v>
      </c>
    </row>
    <row r="56" spans="1:32" ht="25" x14ac:dyDescent="0.25">
      <c r="A56" s="2">
        <v>46111</v>
      </c>
      <c r="B56" t="s">
        <v>253</v>
      </c>
      <c r="C56" t="s">
        <v>193</v>
      </c>
      <c r="D56" t="s">
        <v>254</v>
      </c>
      <c r="E56" t="s">
        <v>254</v>
      </c>
      <c r="F56" t="s">
        <v>4</v>
      </c>
      <c r="G56" s="2">
        <v>46084</v>
      </c>
      <c r="H56" s="2">
        <v>46107</v>
      </c>
      <c r="I56" t="s">
        <v>54</v>
      </c>
      <c r="J56" t="s">
        <v>55</v>
      </c>
      <c r="K56" t="s">
        <v>7</v>
      </c>
      <c r="L56" t="s">
        <v>8</v>
      </c>
      <c r="M56" s="3">
        <v>151300</v>
      </c>
      <c r="N56" s="3" t="s">
        <v>464</v>
      </c>
      <c r="O56" s="22" t="s">
        <v>78</v>
      </c>
      <c r="P56" t="s">
        <v>241</v>
      </c>
      <c r="Q56" s="20" t="s">
        <v>250</v>
      </c>
      <c r="R56" s="20" t="s">
        <v>250</v>
      </c>
      <c r="S56" s="20" t="s">
        <v>250</v>
      </c>
      <c r="T56" s="11" t="s">
        <v>255</v>
      </c>
      <c r="U56" s="11" t="s">
        <v>256</v>
      </c>
      <c r="V56" t="s">
        <v>9</v>
      </c>
      <c r="W56" t="s">
        <v>10</v>
      </c>
      <c r="X56" t="s">
        <v>0</v>
      </c>
      <c r="Y56" s="2"/>
      <c r="Z56" t="s">
        <v>11</v>
      </c>
      <c r="AA56" t="s">
        <v>0</v>
      </c>
      <c r="AB56" t="s">
        <v>14</v>
      </c>
      <c r="AC56" t="s">
        <v>16</v>
      </c>
      <c r="AD56" t="s">
        <v>0</v>
      </c>
      <c r="AE56" t="s">
        <v>0</v>
      </c>
      <c r="AF56" t="s">
        <v>0</v>
      </c>
    </row>
    <row r="57" spans="1:32" ht="25" x14ac:dyDescent="0.25">
      <c r="A57" s="2">
        <v>46111</v>
      </c>
      <c r="B57" t="s">
        <v>257</v>
      </c>
      <c r="C57" t="s">
        <v>193</v>
      </c>
      <c r="D57" t="s">
        <v>258</v>
      </c>
      <c r="E57" t="s">
        <v>258</v>
      </c>
      <c r="F57" t="s">
        <v>4</v>
      </c>
      <c r="G57" s="2">
        <v>46094</v>
      </c>
      <c r="H57" s="2">
        <v>46107</v>
      </c>
      <c r="I57" t="s">
        <v>54</v>
      </c>
      <c r="J57" t="s">
        <v>55</v>
      </c>
      <c r="K57" t="s">
        <v>7</v>
      </c>
      <c r="L57" t="s">
        <v>8</v>
      </c>
      <c r="M57" s="3">
        <v>100000</v>
      </c>
      <c r="N57" s="3" t="s">
        <v>464</v>
      </c>
      <c r="O57" t="s">
        <v>161</v>
      </c>
      <c r="P57" t="s">
        <v>241</v>
      </c>
      <c r="Q57" t="s">
        <v>161</v>
      </c>
      <c r="R57" t="s">
        <v>161</v>
      </c>
      <c r="S57" t="s">
        <v>161</v>
      </c>
      <c r="T57" s="11" t="s">
        <v>259</v>
      </c>
      <c r="U57" s="11" t="s">
        <v>260</v>
      </c>
      <c r="V57" t="s">
        <v>9</v>
      </c>
      <c r="W57" t="s">
        <v>10</v>
      </c>
      <c r="X57" t="s">
        <v>0</v>
      </c>
      <c r="Y57" s="2"/>
      <c r="Z57" t="s">
        <v>11</v>
      </c>
      <c r="AA57" t="s">
        <v>0</v>
      </c>
      <c r="AB57" t="s">
        <v>14</v>
      </c>
      <c r="AC57" t="s">
        <v>16</v>
      </c>
      <c r="AD57" t="s">
        <v>0</v>
      </c>
      <c r="AE57" t="s">
        <v>0</v>
      </c>
      <c r="AF57" t="s">
        <v>0</v>
      </c>
    </row>
    <row r="58" spans="1:32" ht="25" x14ac:dyDescent="0.25">
      <c r="A58" s="2">
        <v>46147</v>
      </c>
      <c r="B58" t="s">
        <v>249</v>
      </c>
      <c r="C58" t="s">
        <v>261</v>
      </c>
      <c r="D58" t="s">
        <v>262</v>
      </c>
      <c r="E58" t="s">
        <v>262</v>
      </c>
      <c r="F58" t="s">
        <v>83</v>
      </c>
      <c r="G58" s="2">
        <v>46099</v>
      </c>
      <c r="H58" s="2">
        <v>46107</v>
      </c>
      <c r="I58" t="s">
        <v>54</v>
      </c>
      <c r="J58" t="s">
        <v>55</v>
      </c>
      <c r="K58" t="s">
        <v>7</v>
      </c>
      <c r="L58" t="s">
        <v>84</v>
      </c>
      <c r="M58" s="3">
        <v>-245200</v>
      </c>
      <c r="N58" s="3" t="s">
        <v>466</v>
      </c>
      <c r="O58" s="22" t="s">
        <v>78</v>
      </c>
      <c r="P58" t="s">
        <v>241</v>
      </c>
      <c r="Q58" s="20" t="s">
        <v>250</v>
      </c>
      <c r="R58" s="22" t="s">
        <v>0</v>
      </c>
      <c r="S58" s="20" t="s">
        <v>250</v>
      </c>
      <c r="T58" s="11" t="s">
        <v>263</v>
      </c>
      <c r="U58" s="11" t="s">
        <v>264</v>
      </c>
      <c r="V58" t="s">
        <v>9</v>
      </c>
      <c r="W58" t="s">
        <v>10</v>
      </c>
      <c r="X58" t="s">
        <v>0</v>
      </c>
      <c r="Y58" s="2"/>
      <c r="Z58" t="s">
        <v>11</v>
      </c>
      <c r="AA58" t="s">
        <v>0</v>
      </c>
      <c r="AB58" t="s">
        <v>14</v>
      </c>
      <c r="AC58" t="s">
        <v>16</v>
      </c>
      <c r="AD58" t="s">
        <v>265</v>
      </c>
      <c r="AE58" t="s">
        <v>0</v>
      </c>
      <c r="AF58" t="s">
        <v>0</v>
      </c>
    </row>
    <row r="59" spans="1:32" ht="25" x14ac:dyDescent="0.25">
      <c r="A59" s="2">
        <v>46147</v>
      </c>
      <c r="B59" t="s">
        <v>254</v>
      </c>
      <c r="C59" t="s">
        <v>266</v>
      </c>
      <c r="D59" t="s">
        <v>267</v>
      </c>
      <c r="E59" t="s">
        <v>267</v>
      </c>
      <c r="F59" t="s">
        <v>83</v>
      </c>
      <c r="G59" s="2">
        <v>46099</v>
      </c>
      <c r="H59" s="2">
        <v>46107</v>
      </c>
      <c r="I59" t="s">
        <v>54</v>
      </c>
      <c r="J59" t="s">
        <v>55</v>
      </c>
      <c r="K59" t="s">
        <v>7</v>
      </c>
      <c r="L59" t="s">
        <v>84</v>
      </c>
      <c r="M59" s="3">
        <v>-151300</v>
      </c>
      <c r="N59" s="3" t="s">
        <v>466</v>
      </c>
      <c r="O59" t="s">
        <v>78</v>
      </c>
      <c r="P59" t="s">
        <v>241</v>
      </c>
      <c r="Q59" t="s">
        <v>78</v>
      </c>
      <c r="R59" t="s">
        <v>0</v>
      </c>
      <c r="S59" t="s">
        <v>78</v>
      </c>
      <c r="T59" s="11" t="s">
        <v>268</v>
      </c>
      <c r="U59" s="11" t="s">
        <v>264</v>
      </c>
      <c r="V59" t="s">
        <v>9</v>
      </c>
      <c r="W59" t="s">
        <v>10</v>
      </c>
      <c r="X59" t="s">
        <v>0</v>
      </c>
      <c r="Y59" s="2"/>
      <c r="Z59" t="s">
        <v>11</v>
      </c>
      <c r="AA59" t="s">
        <v>0</v>
      </c>
      <c r="AB59" t="s">
        <v>14</v>
      </c>
      <c r="AC59" t="s">
        <v>16</v>
      </c>
      <c r="AD59" t="s">
        <v>269</v>
      </c>
      <c r="AE59" t="s">
        <v>0</v>
      </c>
      <c r="AF59" t="s">
        <v>0</v>
      </c>
    </row>
    <row r="60" spans="1:32" ht="25" x14ac:dyDescent="0.25">
      <c r="A60" s="2">
        <v>46154</v>
      </c>
      <c r="B60" t="s">
        <v>270</v>
      </c>
      <c r="C60" t="s">
        <v>271</v>
      </c>
      <c r="D60" t="s">
        <v>272</v>
      </c>
      <c r="E60" t="s">
        <v>272</v>
      </c>
      <c r="F60" t="s">
        <v>83</v>
      </c>
      <c r="G60" s="2">
        <v>46081</v>
      </c>
      <c r="H60" s="2">
        <v>46081</v>
      </c>
      <c r="I60" t="s">
        <v>94</v>
      </c>
      <c r="J60" t="s">
        <v>95</v>
      </c>
      <c r="K60" t="s">
        <v>7</v>
      </c>
      <c r="L60" t="s">
        <v>84</v>
      </c>
      <c r="M60" s="3">
        <v>-25336.799999999999</v>
      </c>
      <c r="N60" s="3" t="s">
        <v>466</v>
      </c>
      <c r="O60" t="s">
        <v>12</v>
      </c>
      <c r="P60" t="s">
        <v>241</v>
      </c>
      <c r="Q60" t="s">
        <v>12</v>
      </c>
      <c r="R60" t="s">
        <v>0</v>
      </c>
      <c r="S60" t="s">
        <v>12</v>
      </c>
      <c r="T60" s="11" t="s">
        <v>273</v>
      </c>
      <c r="U60" s="11" t="s">
        <v>264</v>
      </c>
      <c r="V60" t="s">
        <v>9</v>
      </c>
      <c r="W60" t="s">
        <v>10</v>
      </c>
      <c r="X60" t="s">
        <v>0</v>
      </c>
      <c r="Y60" s="2"/>
      <c r="Z60" t="s">
        <v>11</v>
      </c>
      <c r="AA60" t="s">
        <v>0</v>
      </c>
      <c r="AB60" t="s">
        <v>14</v>
      </c>
      <c r="AC60" t="s">
        <v>16</v>
      </c>
      <c r="AD60" t="s">
        <v>274</v>
      </c>
      <c r="AE60" t="s">
        <v>0</v>
      </c>
      <c r="AF60" t="s">
        <v>0</v>
      </c>
    </row>
    <row r="61" spans="1:32" ht="25" x14ac:dyDescent="0.25">
      <c r="A61" s="2">
        <v>46154</v>
      </c>
      <c r="B61" t="s">
        <v>270</v>
      </c>
      <c r="C61" t="s">
        <v>271</v>
      </c>
      <c r="D61" t="s">
        <v>275</v>
      </c>
      <c r="E61" t="s">
        <v>275</v>
      </c>
      <c r="F61" t="s">
        <v>83</v>
      </c>
      <c r="G61" s="2">
        <v>46112</v>
      </c>
      <c r="H61" s="2">
        <v>46112</v>
      </c>
      <c r="I61" t="s">
        <v>54</v>
      </c>
      <c r="J61" t="s">
        <v>55</v>
      </c>
      <c r="K61" t="s">
        <v>7</v>
      </c>
      <c r="L61" t="s">
        <v>84</v>
      </c>
      <c r="M61" s="3">
        <v>-25158.6</v>
      </c>
      <c r="N61" s="3" t="s">
        <v>466</v>
      </c>
      <c r="O61" t="s">
        <v>12</v>
      </c>
      <c r="P61" t="s">
        <v>241</v>
      </c>
      <c r="Q61" t="s">
        <v>12</v>
      </c>
      <c r="R61" t="s">
        <v>0</v>
      </c>
      <c r="S61" t="s">
        <v>12</v>
      </c>
      <c r="T61" s="11" t="s">
        <v>276</v>
      </c>
      <c r="U61" s="11" t="s">
        <v>264</v>
      </c>
      <c r="V61" t="s">
        <v>9</v>
      </c>
      <c r="W61" t="s">
        <v>10</v>
      </c>
      <c r="X61" t="s">
        <v>0</v>
      </c>
      <c r="Y61" s="2"/>
      <c r="Z61" t="s">
        <v>11</v>
      </c>
      <c r="AA61" t="s">
        <v>0</v>
      </c>
      <c r="AB61" t="s">
        <v>14</v>
      </c>
      <c r="AC61" t="s">
        <v>16</v>
      </c>
      <c r="AD61" t="s">
        <v>277</v>
      </c>
      <c r="AE61" t="s">
        <v>0</v>
      </c>
      <c r="AF61" t="s">
        <v>0</v>
      </c>
    </row>
    <row r="62" spans="1:32" ht="25" x14ac:dyDescent="0.25">
      <c r="A62" s="2">
        <v>46153</v>
      </c>
      <c r="B62" t="s">
        <v>278</v>
      </c>
      <c r="C62" t="s">
        <v>279</v>
      </c>
      <c r="D62" t="s">
        <v>280</v>
      </c>
      <c r="E62" t="s">
        <v>280</v>
      </c>
      <c r="F62" t="s">
        <v>83</v>
      </c>
      <c r="G62" s="2">
        <v>46112</v>
      </c>
      <c r="H62" s="2">
        <v>46112</v>
      </c>
      <c r="I62" t="s">
        <v>54</v>
      </c>
      <c r="J62" t="s">
        <v>55</v>
      </c>
      <c r="K62" t="s">
        <v>7</v>
      </c>
      <c r="L62" t="s">
        <v>84</v>
      </c>
      <c r="M62" s="3">
        <v>-8432.11</v>
      </c>
      <c r="N62" s="3" t="s">
        <v>466</v>
      </c>
      <c r="O62" t="s">
        <v>161</v>
      </c>
      <c r="P62" t="s">
        <v>241</v>
      </c>
      <c r="Q62" t="s">
        <v>161</v>
      </c>
      <c r="R62" t="s">
        <v>0</v>
      </c>
      <c r="S62" t="s">
        <v>161</v>
      </c>
      <c r="T62" s="11" t="s">
        <v>281</v>
      </c>
      <c r="U62" s="11" t="s">
        <v>264</v>
      </c>
      <c r="V62" t="s">
        <v>9</v>
      </c>
      <c r="W62" t="s">
        <v>10</v>
      </c>
      <c r="X62" t="s">
        <v>0</v>
      </c>
      <c r="Y62" s="2"/>
      <c r="Z62" t="s">
        <v>11</v>
      </c>
      <c r="AA62" t="s">
        <v>0</v>
      </c>
      <c r="AB62" t="s">
        <v>14</v>
      </c>
      <c r="AC62" t="s">
        <v>16</v>
      </c>
      <c r="AD62" t="s">
        <v>282</v>
      </c>
      <c r="AE62" t="s">
        <v>0</v>
      </c>
      <c r="AF62" t="s">
        <v>0</v>
      </c>
    </row>
    <row r="63" spans="1:32" x14ac:dyDescent="0.25">
      <c r="A63" s="5"/>
      <c r="B63" s="4" t="s">
        <v>0</v>
      </c>
      <c r="C63" s="4" t="s">
        <v>0</v>
      </c>
      <c r="D63" s="4" t="s">
        <v>0</v>
      </c>
      <c r="E63" s="4" t="s">
        <v>0</v>
      </c>
      <c r="F63" s="4" t="s">
        <v>0</v>
      </c>
      <c r="G63" s="5"/>
      <c r="H63" s="5"/>
      <c r="I63" s="4" t="s">
        <v>0</v>
      </c>
      <c r="J63" s="4" t="s">
        <v>0</v>
      </c>
      <c r="K63" s="4" t="s">
        <v>0</v>
      </c>
      <c r="L63" s="4" t="s">
        <v>0</v>
      </c>
      <c r="M63" s="6">
        <v>249072.49</v>
      </c>
      <c r="N63" s="6"/>
      <c r="O63" s="4" t="s">
        <v>0</v>
      </c>
      <c r="P63" s="4" t="s">
        <v>241</v>
      </c>
      <c r="Q63" s="4" t="s">
        <v>0</v>
      </c>
      <c r="R63" s="4" t="s">
        <v>0</v>
      </c>
      <c r="S63" s="4" t="s">
        <v>0</v>
      </c>
      <c r="T63" s="12" t="s">
        <v>0</v>
      </c>
      <c r="U63" s="12" t="s">
        <v>0</v>
      </c>
      <c r="V63" s="4" t="s">
        <v>9</v>
      </c>
      <c r="W63" s="4" t="s">
        <v>0</v>
      </c>
      <c r="X63" s="4" t="s">
        <v>0</v>
      </c>
      <c r="Y63" s="5"/>
      <c r="Z63" s="4" t="s">
        <v>0</v>
      </c>
      <c r="AA63" s="4" t="s">
        <v>0</v>
      </c>
      <c r="AB63" s="4" t="s">
        <v>0</v>
      </c>
      <c r="AC63" s="4" t="s">
        <v>0</v>
      </c>
      <c r="AD63" s="4" t="s">
        <v>0</v>
      </c>
      <c r="AE63" s="4" t="s">
        <v>0</v>
      </c>
      <c r="AF63" s="4" t="s">
        <v>0</v>
      </c>
    </row>
    <row r="64" spans="1:32" ht="25" x14ac:dyDescent="0.25">
      <c r="A64" s="2">
        <v>46052</v>
      </c>
      <c r="B64" t="s">
        <v>283</v>
      </c>
      <c r="C64" t="s">
        <v>284</v>
      </c>
      <c r="D64" t="s">
        <v>285</v>
      </c>
      <c r="E64" t="s">
        <v>285</v>
      </c>
      <c r="F64" t="s">
        <v>4</v>
      </c>
      <c r="G64" s="2">
        <v>46034</v>
      </c>
      <c r="H64" s="2">
        <v>46049</v>
      </c>
      <c r="I64" t="s">
        <v>5</v>
      </c>
      <c r="J64" t="s">
        <v>6</v>
      </c>
      <c r="K64" t="s">
        <v>7</v>
      </c>
      <c r="L64" t="s">
        <v>8</v>
      </c>
      <c r="M64" s="3">
        <v>1500000</v>
      </c>
      <c r="N64" s="3" t="s">
        <v>464</v>
      </c>
      <c r="O64" t="s">
        <v>12</v>
      </c>
      <c r="P64" t="s">
        <v>286</v>
      </c>
      <c r="Q64" t="s">
        <v>12</v>
      </c>
      <c r="R64" t="s">
        <v>12</v>
      </c>
      <c r="S64" t="s">
        <v>12</v>
      </c>
      <c r="T64" s="11" t="s">
        <v>287</v>
      </c>
      <c r="U64" s="11" t="s">
        <v>0</v>
      </c>
      <c r="V64" t="s">
        <v>9</v>
      </c>
      <c r="W64" t="s">
        <v>10</v>
      </c>
      <c r="X64" t="s">
        <v>0</v>
      </c>
      <c r="Y64" s="2"/>
      <c r="Z64" t="s">
        <v>11</v>
      </c>
      <c r="AA64" t="s">
        <v>0</v>
      </c>
      <c r="AB64" t="s">
        <v>14</v>
      </c>
      <c r="AC64" t="s">
        <v>16</v>
      </c>
      <c r="AD64" t="s">
        <v>0</v>
      </c>
      <c r="AE64" t="s">
        <v>0</v>
      </c>
      <c r="AF64" t="s">
        <v>0</v>
      </c>
    </row>
    <row r="65" spans="1:32" ht="25" x14ac:dyDescent="0.25">
      <c r="A65" s="2">
        <v>46154</v>
      </c>
      <c r="B65" t="s">
        <v>288</v>
      </c>
      <c r="C65" t="s">
        <v>289</v>
      </c>
      <c r="D65" t="s">
        <v>290</v>
      </c>
      <c r="E65" t="s">
        <v>290</v>
      </c>
      <c r="F65" t="s">
        <v>83</v>
      </c>
      <c r="G65" s="2">
        <v>46053</v>
      </c>
      <c r="H65" s="2">
        <v>46053</v>
      </c>
      <c r="I65" t="s">
        <v>5</v>
      </c>
      <c r="J65" t="s">
        <v>6</v>
      </c>
      <c r="K65" t="s">
        <v>7</v>
      </c>
      <c r="L65" t="s">
        <v>84</v>
      </c>
      <c r="M65" s="3">
        <v>-353970.88</v>
      </c>
      <c r="N65" s="3" t="s">
        <v>466</v>
      </c>
      <c r="O65" t="s">
        <v>12</v>
      </c>
      <c r="P65" t="s">
        <v>286</v>
      </c>
      <c r="Q65" t="s">
        <v>12</v>
      </c>
      <c r="R65" t="s">
        <v>0</v>
      </c>
      <c r="S65" t="s">
        <v>12</v>
      </c>
      <c r="T65" s="11" t="s">
        <v>291</v>
      </c>
      <c r="U65" s="11" t="s">
        <v>292</v>
      </c>
      <c r="V65" t="s">
        <v>9</v>
      </c>
      <c r="W65" t="s">
        <v>10</v>
      </c>
      <c r="X65" t="s">
        <v>0</v>
      </c>
      <c r="Y65" s="2"/>
      <c r="Z65" t="s">
        <v>11</v>
      </c>
      <c r="AA65" t="s">
        <v>0</v>
      </c>
      <c r="AB65" t="s">
        <v>14</v>
      </c>
      <c r="AC65" t="s">
        <v>16</v>
      </c>
      <c r="AD65" t="s">
        <v>293</v>
      </c>
      <c r="AE65" t="s">
        <v>0</v>
      </c>
      <c r="AF65" t="s">
        <v>0</v>
      </c>
    </row>
    <row r="66" spans="1:32" ht="25" x14ac:dyDescent="0.25">
      <c r="A66" s="2">
        <v>46154</v>
      </c>
      <c r="B66" t="s">
        <v>288</v>
      </c>
      <c r="C66" t="s">
        <v>289</v>
      </c>
      <c r="D66" t="s">
        <v>294</v>
      </c>
      <c r="E66" t="s">
        <v>294</v>
      </c>
      <c r="F66" t="s">
        <v>83</v>
      </c>
      <c r="G66" s="2">
        <v>46081</v>
      </c>
      <c r="H66" s="2">
        <v>46081</v>
      </c>
      <c r="I66" t="s">
        <v>94</v>
      </c>
      <c r="J66" t="s">
        <v>95</v>
      </c>
      <c r="K66" t="s">
        <v>7</v>
      </c>
      <c r="L66" t="s">
        <v>84</v>
      </c>
      <c r="M66" s="3">
        <v>-306244.8</v>
      </c>
      <c r="N66" s="3" t="s">
        <v>466</v>
      </c>
      <c r="O66" t="s">
        <v>12</v>
      </c>
      <c r="P66" t="s">
        <v>286</v>
      </c>
      <c r="Q66" t="s">
        <v>12</v>
      </c>
      <c r="R66" t="s">
        <v>0</v>
      </c>
      <c r="S66" t="s">
        <v>12</v>
      </c>
      <c r="T66" s="11" t="s">
        <v>295</v>
      </c>
      <c r="U66" s="11" t="s">
        <v>292</v>
      </c>
      <c r="V66" t="s">
        <v>9</v>
      </c>
      <c r="W66" t="s">
        <v>10</v>
      </c>
      <c r="X66" t="s">
        <v>0</v>
      </c>
      <c r="Y66" s="2"/>
      <c r="Z66" t="s">
        <v>11</v>
      </c>
      <c r="AA66" t="s">
        <v>0</v>
      </c>
      <c r="AB66" t="s">
        <v>14</v>
      </c>
      <c r="AC66" t="s">
        <v>16</v>
      </c>
      <c r="AD66" t="s">
        <v>296</v>
      </c>
      <c r="AE66" t="s">
        <v>0</v>
      </c>
      <c r="AF66" t="s">
        <v>0</v>
      </c>
    </row>
    <row r="67" spans="1:32" ht="25" x14ac:dyDescent="0.25">
      <c r="A67" s="2">
        <v>46154</v>
      </c>
      <c r="B67" t="s">
        <v>288</v>
      </c>
      <c r="C67" t="s">
        <v>289</v>
      </c>
      <c r="D67" t="s">
        <v>297</v>
      </c>
      <c r="E67" t="s">
        <v>297</v>
      </c>
      <c r="F67" t="s">
        <v>83</v>
      </c>
      <c r="G67" s="2">
        <v>46112</v>
      </c>
      <c r="H67" s="2">
        <v>46112</v>
      </c>
      <c r="I67" t="s">
        <v>54</v>
      </c>
      <c r="J67" t="s">
        <v>55</v>
      </c>
      <c r="K67" t="s">
        <v>7</v>
      </c>
      <c r="L67" t="s">
        <v>84</v>
      </c>
      <c r="M67" s="3">
        <v>-161212.42000000001</v>
      </c>
      <c r="N67" s="3" t="s">
        <v>466</v>
      </c>
      <c r="O67" t="s">
        <v>12</v>
      </c>
      <c r="P67" t="s">
        <v>286</v>
      </c>
      <c r="Q67" t="s">
        <v>12</v>
      </c>
      <c r="R67" t="s">
        <v>0</v>
      </c>
      <c r="S67" t="s">
        <v>12</v>
      </c>
      <c r="T67" s="11" t="s">
        <v>298</v>
      </c>
      <c r="U67" s="11" t="s">
        <v>292</v>
      </c>
      <c r="V67" t="s">
        <v>9</v>
      </c>
      <c r="W67" t="s">
        <v>10</v>
      </c>
      <c r="X67" t="s">
        <v>0</v>
      </c>
      <c r="Y67" s="2"/>
      <c r="Z67" t="s">
        <v>11</v>
      </c>
      <c r="AA67" t="s">
        <v>0</v>
      </c>
      <c r="AB67" t="s">
        <v>14</v>
      </c>
      <c r="AC67" t="s">
        <v>16</v>
      </c>
      <c r="AD67" t="s">
        <v>299</v>
      </c>
      <c r="AE67" t="s">
        <v>0</v>
      </c>
      <c r="AF67" t="s">
        <v>0</v>
      </c>
    </row>
    <row r="68" spans="1:32" x14ac:dyDescent="0.25">
      <c r="A68" s="5"/>
      <c r="B68" s="4" t="s">
        <v>0</v>
      </c>
      <c r="C68" s="4" t="s">
        <v>0</v>
      </c>
      <c r="D68" s="4" t="s">
        <v>0</v>
      </c>
      <c r="E68" s="4" t="s">
        <v>0</v>
      </c>
      <c r="F68" s="4" t="s">
        <v>0</v>
      </c>
      <c r="G68" s="5"/>
      <c r="H68" s="5"/>
      <c r="I68" s="4" t="s">
        <v>0</v>
      </c>
      <c r="J68" s="4" t="s">
        <v>0</v>
      </c>
      <c r="K68" s="4" t="s">
        <v>0</v>
      </c>
      <c r="L68" s="4" t="s">
        <v>0</v>
      </c>
      <c r="M68" s="6">
        <v>678571.9</v>
      </c>
      <c r="N68" s="6"/>
      <c r="O68" s="4" t="s">
        <v>0</v>
      </c>
      <c r="P68" s="4" t="s">
        <v>286</v>
      </c>
      <c r="Q68" s="4" t="s">
        <v>0</v>
      </c>
      <c r="R68" s="4" t="s">
        <v>0</v>
      </c>
      <c r="S68" s="4" t="s">
        <v>0</v>
      </c>
      <c r="T68" s="12" t="s">
        <v>0</v>
      </c>
      <c r="U68" s="12" t="s">
        <v>0</v>
      </c>
      <c r="V68" s="4" t="s">
        <v>9</v>
      </c>
      <c r="W68" s="4" t="s">
        <v>0</v>
      </c>
      <c r="X68" s="4" t="s">
        <v>0</v>
      </c>
      <c r="Y68" s="5"/>
      <c r="Z68" s="4" t="s">
        <v>0</v>
      </c>
      <c r="AA68" s="4" t="s">
        <v>0</v>
      </c>
      <c r="AB68" s="4" t="s">
        <v>0</v>
      </c>
      <c r="AC68" s="4" t="s">
        <v>0</v>
      </c>
      <c r="AD68" s="4" t="s">
        <v>0</v>
      </c>
      <c r="AE68" s="4" t="s">
        <v>0</v>
      </c>
      <c r="AF68" s="4" t="s">
        <v>0</v>
      </c>
    </row>
    <row r="69" spans="1:32" ht="25" x14ac:dyDescent="0.25">
      <c r="A69" s="2">
        <v>46077</v>
      </c>
      <c r="B69" t="s">
        <v>300</v>
      </c>
      <c r="C69" t="s">
        <v>2</v>
      </c>
      <c r="D69" t="s">
        <v>301</v>
      </c>
      <c r="E69" t="s">
        <v>301</v>
      </c>
      <c r="F69" t="s">
        <v>4</v>
      </c>
      <c r="G69" s="2">
        <v>46063</v>
      </c>
      <c r="H69" s="2">
        <v>46053</v>
      </c>
      <c r="I69" t="s">
        <v>5</v>
      </c>
      <c r="J69" t="s">
        <v>6</v>
      </c>
      <c r="K69" t="s">
        <v>7</v>
      </c>
      <c r="L69" t="s">
        <v>8</v>
      </c>
      <c r="M69" s="3">
        <v>91440</v>
      </c>
      <c r="N69" s="3" t="s">
        <v>464</v>
      </c>
      <c r="O69" t="s">
        <v>12</v>
      </c>
      <c r="P69" t="s">
        <v>302</v>
      </c>
      <c r="Q69" t="s">
        <v>12</v>
      </c>
      <c r="R69" t="s">
        <v>12</v>
      </c>
      <c r="S69" t="s">
        <v>12</v>
      </c>
      <c r="T69" s="11" t="s">
        <v>303</v>
      </c>
      <c r="U69" s="11" t="s">
        <v>304</v>
      </c>
      <c r="V69" t="s">
        <v>9</v>
      </c>
      <c r="W69" t="s">
        <v>10</v>
      </c>
      <c r="X69" t="s">
        <v>0</v>
      </c>
      <c r="Y69" s="2"/>
      <c r="Z69" t="s">
        <v>11</v>
      </c>
      <c r="AA69" t="s">
        <v>0</v>
      </c>
      <c r="AB69" t="s">
        <v>14</v>
      </c>
      <c r="AC69" t="s">
        <v>16</v>
      </c>
      <c r="AD69" t="s">
        <v>0</v>
      </c>
      <c r="AE69" t="s">
        <v>0</v>
      </c>
      <c r="AF69" t="s">
        <v>0</v>
      </c>
    </row>
    <row r="70" spans="1:32" ht="25" x14ac:dyDescent="0.25">
      <c r="A70" s="2">
        <v>46154</v>
      </c>
      <c r="B70" t="s">
        <v>305</v>
      </c>
      <c r="C70" t="s">
        <v>306</v>
      </c>
      <c r="D70" t="s">
        <v>307</v>
      </c>
      <c r="E70" t="s">
        <v>307</v>
      </c>
      <c r="F70" t="s">
        <v>83</v>
      </c>
      <c r="G70" s="2">
        <v>46112</v>
      </c>
      <c r="H70" s="2">
        <v>46112</v>
      </c>
      <c r="I70" t="s">
        <v>54</v>
      </c>
      <c r="J70" t="s">
        <v>55</v>
      </c>
      <c r="K70" t="s">
        <v>7</v>
      </c>
      <c r="L70" t="s">
        <v>84</v>
      </c>
      <c r="M70" s="3">
        <v>-70104</v>
      </c>
      <c r="N70" s="3" t="s">
        <v>466</v>
      </c>
      <c r="O70" t="s">
        <v>12</v>
      </c>
      <c r="P70" t="s">
        <v>302</v>
      </c>
      <c r="Q70" t="s">
        <v>12</v>
      </c>
      <c r="R70" t="s">
        <v>0</v>
      </c>
      <c r="S70" t="s">
        <v>12</v>
      </c>
      <c r="T70" s="11" t="s">
        <v>308</v>
      </c>
      <c r="U70" s="11" t="s">
        <v>309</v>
      </c>
      <c r="V70" t="s">
        <v>9</v>
      </c>
      <c r="W70" t="s">
        <v>10</v>
      </c>
      <c r="X70" t="s">
        <v>0</v>
      </c>
      <c r="Y70" s="2"/>
      <c r="Z70" t="s">
        <v>11</v>
      </c>
      <c r="AA70" t="s">
        <v>0</v>
      </c>
      <c r="AB70" t="s">
        <v>14</v>
      </c>
      <c r="AC70" t="s">
        <v>16</v>
      </c>
      <c r="AD70" t="s">
        <v>310</v>
      </c>
      <c r="AE70" t="s">
        <v>0</v>
      </c>
      <c r="AF70" t="s">
        <v>0</v>
      </c>
    </row>
    <row r="71" spans="1:32" x14ac:dyDescent="0.25">
      <c r="A71" s="5"/>
      <c r="B71" s="4" t="s">
        <v>0</v>
      </c>
      <c r="C71" s="4" t="s">
        <v>0</v>
      </c>
      <c r="D71" s="4" t="s">
        <v>0</v>
      </c>
      <c r="E71" s="4" t="s">
        <v>0</v>
      </c>
      <c r="F71" s="4" t="s">
        <v>0</v>
      </c>
      <c r="G71" s="5"/>
      <c r="H71" s="5"/>
      <c r="I71" s="4" t="s">
        <v>0</v>
      </c>
      <c r="J71" s="4" t="s">
        <v>0</v>
      </c>
      <c r="K71" s="4" t="s">
        <v>0</v>
      </c>
      <c r="L71" s="4" t="s">
        <v>0</v>
      </c>
      <c r="M71" s="6">
        <v>21336</v>
      </c>
      <c r="N71" s="6"/>
      <c r="O71" s="4" t="s">
        <v>0</v>
      </c>
      <c r="P71" s="4" t="s">
        <v>302</v>
      </c>
      <c r="Q71" s="4" t="s">
        <v>0</v>
      </c>
      <c r="R71" s="4" t="s">
        <v>0</v>
      </c>
      <c r="S71" s="4" t="s">
        <v>0</v>
      </c>
      <c r="T71" s="12" t="s">
        <v>0</v>
      </c>
      <c r="U71" s="12" t="s">
        <v>0</v>
      </c>
      <c r="V71" s="4" t="s">
        <v>9</v>
      </c>
      <c r="W71" s="4" t="s">
        <v>0</v>
      </c>
      <c r="X71" s="4" t="s">
        <v>0</v>
      </c>
      <c r="Y71" s="5"/>
      <c r="Z71" s="4" t="s">
        <v>0</v>
      </c>
      <c r="AA71" s="4" t="s">
        <v>0</v>
      </c>
      <c r="AB71" s="4" t="s">
        <v>0</v>
      </c>
      <c r="AC71" s="4" t="s">
        <v>0</v>
      </c>
      <c r="AD71" s="4" t="s">
        <v>0</v>
      </c>
      <c r="AE71" s="4" t="s">
        <v>0</v>
      </c>
      <c r="AF71" s="4" t="s">
        <v>0</v>
      </c>
    </row>
    <row r="72" spans="1:32" ht="25" x14ac:dyDescent="0.25">
      <c r="A72" s="2">
        <v>46111</v>
      </c>
      <c r="B72" t="s">
        <v>311</v>
      </c>
      <c r="C72" t="s">
        <v>193</v>
      </c>
      <c r="D72" t="s">
        <v>312</v>
      </c>
      <c r="E72" t="s">
        <v>312</v>
      </c>
      <c r="F72" t="s">
        <v>4</v>
      </c>
      <c r="G72" s="2">
        <v>46092</v>
      </c>
      <c r="H72" s="2">
        <v>46107</v>
      </c>
      <c r="I72" t="s">
        <v>54</v>
      </c>
      <c r="J72" t="s">
        <v>55</v>
      </c>
      <c r="K72" t="s">
        <v>7</v>
      </c>
      <c r="L72" t="s">
        <v>8</v>
      </c>
      <c r="M72" s="3">
        <v>91440</v>
      </c>
      <c r="N72" s="3" t="s">
        <v>464</v>
      </c>
      <c r="O72" t="s">
        <v>12</v>
      </c>
      <c r="P72" t="s">
        <v>313</v>
      </c>
      <c r="Q72" t="s">
        <v>12</v>
      </c>
      <c r="R72" t="s">
        <v>12</v>
      </c>
      <c r="S72" t="s">
        <v>12</v>
      </c>
      <c r="T72" s="11" t="s">
        <v>314</v>
      </c>
      <c r="U72" s="11" t="s">
        <v>315</v>
      </c>
      <c r="V72" t="s">
        <v>9</v>
      </c>
      <c r="W72" t="s">
        <v>10</v>
      </c>
      <c r="X72" t="s">
        <v>0</v>
      </c>
      <c r="Y72" s="2"/>
      <c r="Z72" t="s">
        <v>11</v>
      </c>
      <c r="AA72" t="s">
        <v>0</v>
      </c>
      <c r="AB72" t="s">
        <v>14</v>
      </c>
      <c r="AC72" t="s">
        <v>16</v>
      </c>
      <c r="AD72" t="s">
        <v>0</v>
      </c>
      <c r="AE72" t="s">
        <v>0</v>
      </c>
      <c r="AF72" t="s">
        <v>0</v>
      </c>
    </row>
    <row r="73" spans="1:32" x14ac:dyDescent="0.25">
      <c r="A73" s="5"/>
      <c r="B73" s="4" t="s">
        <v>0</v>
      </c>
      <c r="C73" s="4" t="s">
        <v>0</v>
      </c>
      <c r="D73" s="4" t="s">
        <v>0</v>
      </c>
      <c r="E73" s="4" t="s">
        <v>0</v>
      </c>
      <c r="F73" s="4" t="s">
        <v>0</v>
      </c>
      <c r="G73" s="5"/>
      <c r="H73" s="5"/>
      <c r="I73" s="4" t="s">
        <v>0</v>
      </c>
      <c r="J73" s="4" t="s">
        <v>0</v>
      </c>
      <c r="K73" s="4" t="s">
        <v>0</v>
      </c>
      <c r="L73" s="4" t="s">
        <v>0</v>
      </c>
      <c r="M73" s="6">
        <v>91440</v>
      </c>
      <c r="N73" s="6"/>
      <c r="O73" s="4" t="s">
        <v>0</v>
      </c>
      <c r="P73" s="4" t="s">
        <v>313</v>
      </c>
      <c r="Q73" s="4" t="s">
        <v>0</v>
      </c>
      <c r="R73" s="4" t="s">
        <v>0</v>
      </c>
      <c r="S73" s="4" t="s">
        <v>0</v>
      </c>
      <c r="T73" s="12" t="s">
        <v>0</v>
      </c>
      <c r="U73" s="12" t="s">
        <v>0</v>
      </c>
      <c r="V73" s="4" t="s">
        <v>9</v>
      </c>
      <c r="W73" s="4" t="s">
        <v>0</v>
      </c>
      <c r="X73" s="4" t="s">
        <v>0</v>
      </c>
      <c r="Y73" s="5"/>
      <c r="Z73" s="4" t="s">
        <v>0</v>
      </c>
      <c r="AA73" s="4" t="s">
        <v>0</v>
      </c>
      <c r="AB73" s="4" t="s">
        <v>0</v>
      </c>
      <c r="AC73" s="4" t="s">
        <v>0</v>
      </c>
      <c r="AD73" s="4" t="s">
        <v>0</v>
      </c>
      <c r="AE73" s="4" t="s">
        <v>0</v>
      </c>
      <c r="AF73" s="4" t="s">
        <v>0</v>
      </c>
    </row>
    <row r="74" spans="1:32" ht="25" x14ac:dyDescent="0.25">
      <c r="A74" s="2">
        <v>46077</v>
      </c>
      <c r="B74" t="s">
        <v>316</v>
      </c>
      <c r="C74" t="s">
        <v>2</v>
      </c>
      <c r="D74" t="s">
        <v>317</v>
      </c>
      <c r="E74" t="s">
        <v>317</v>
      </c>
      <c r="F74" t="s">
        <v>4</v>
      </c>
      <c r="G74" s="2">
        <v>46034</v>
      </c>
      <c r="H74" s="2">
        <v>46053</v>
      </c>
      <c r="I74" t="s">
        <v>5</v>
      </c>
      <c r="J74" t="s">
        <v>6</v>
      </c>
      <c r="K74" t="s">
        <v>7</v>
      </c>
      <c r="L74" t="s">
        <v>8</v>
      </c>
      <c r="M74" s="3">
        <v>91440</v>
      </c>
      <c r="N74" s="3" t="s">
        <v>464</v>
      </c>
      <c r="O74" t="s">
        <v>12</v>
      </c>
      <c r="P74" t="s">
        <v>318</v>
      </c>
      <c r="Q74" t="s">
        <v>12</v>
      </c>
      <c r="R74" t="s">
        <v>12</v>
      </c>
      <c r="S74" t="s">
        <v>12</v>
      </c>
      <c r="T74" s="11" t="s">
        <v>303</v>
      </c>
      <c r="U74" s="11" t="s">
        <v>304</v>
      </c>
      <c r="V74" t="s">
        <v>9</v>
      </c>
      <c r="W74" t="s">
        <v>10</v>
      </c>
      <c r="X74" t="s">
        <v>0</v>
      </c>
      <c r="Y74" s="2"/>
      <c r="Z74" t="s">
        <v>11</v>
      </c>
      <c r="AA74" t="s">
        <v>0</v>
      </c>
      <c r="AB74" t="s">
        <v>14</v>
      </c>
      <c r="AC74" t="s">
        <v>16</v>
      </c>
      <c r="AD74" t="s">
        <v>0</v>
      </c>
      <c r="AE74" t="s">
        <v>0</v>
      </c>
      <c r="AF74" t="s">
        <v>0</v>
      </c>
    </row>
    <row r="75" spans="1:32" ht="25" x14ac:dyDescent="0.25">
      <c r="A75" s="2">
        <v>46154</v>
      </c>
      <c r="B75" t="s">
        <v>319</v>
      </c>
      <c r="C75" t="s">
        <v>320</v>
      </c>
      <c r="D75" t="s">
        <v>321</v>
      </c>
      <c r="E75" t="s">
        <v>321</v>
      </c>
      <c r="F75" t="s">
        <v>83</v>
      </c>
      <c r="G75" s="2">
        <v>46112</v>
      </c>
      <c r="H75" s="2">
        <v>46112</v>
      </c>
      <c r="I75" t="s">
        <v>54</v>
      </c>
      <c r="J75" t="s">
        <v>55</v>
      </c>
      <c r="K75" t="s">
        <v>7</v>
      </c>
      <c r="L75" t="s">
        <v>84</v>
      </c>
      <c r="M75" s="3">
        <v>-5388</v>
      </c>
      <c r="N75" s="3" t="s">
        <v>466</v>
      </c>
      <c r="O75" t="s">
        <v>12</v>
      </c>
      <c r="P75" t="s">
        <v>318</v>
      </c>
      <c r="Q75" t="s">
        <v>12</v>
      </c>
      <c r="R75" t="s">
        <v>0</v>
      </c>
      <c r="S75" t="s">
        <v>12</v>
      </c>
      <c r="T75" s="11" t="s">
        <v>308</v>
      </c>
      <c r="U75" s="11" t="s">
        <v>322</v>
      </c>
      <c r="V75" t="s">
        <v>9</v>
      </c>
      <c r="W75" t="s">
        <v>10</v>
      </c>
      <c r="X75" t="s">
        <v>0</v>
      </c>
      <c r="Y75" s="2"/>
      <c r="Z75" t="s">
        <v>11</v>
      </c>
      <c r="AA75" t="s">
        <v>0</v>
      </c>
      <c r="AB75" t="s">
        <v>14</v>
      </c>
      <c r="AC75" t="s">
        <v>16</v>
      </c>
      <c r="AD75" t="s">
        <v>323</v>
      </c>
      <c r="AE75" t="s">
        <v>0</v>
      </c>
      <c r="AF75" t="s">
        <v>0</v>
      </c>
    </row>
    <row r="76" spans="1:32" x14ac:dyDescent="0.25">
      <c r="A76" s="5"/>
      <c r="B76" s="4" t="s">
        <v>0</v>
      </c>
      <c r="C76" s="4" t="s">
        <v>0</v>
      </c>
      <c r="D76" s="4" t="s">
        <v>0</v>
      </c>
      <c r="E76" s="4" t="s">
        <v>0</v>
      </c>
      <c r="F76" s="4" t="s">
        <v>0</v>
      </c>
      <c r="G76" s="5"/>
      <c r="H76" s="5"/>
      <c r="I76" s="4" t="s">
        <v>0</v>
      </c>
      <c r="J76" s="4" t="s">
        <v>0</v>
      </c>
      <c r="K76" s="4" t="s">
        <v>0</v>
      </c>
      <c r="L76" s="4" t="s">
        <v>0</v>
      </c>
      <c r="M76" s="6">
        <v>86052</v>
      </c>
      <c r="N76" s="6"/>
      <c r="O76" s="4" t="s">
        <v>0</v>
      </c>
      <c r="P76" s="4" t="s">
        <v>318</v>
      </c>
      <c r="Q76" s="4" t="s">
        <v>0</v>
      </c>
      <c r="R76" s="4" t="s">
        <v>0</v>
      </c>
      <c r="S76" s="4" t="s">
        <v>0</v>
      </c>
      <c r="T76" s="12" t="s">
        <v>0</v>
      </c>
      <c r="U76" s="12" t="s">
        <v>0</v>
      </c>
      <c r="V76" s="4" t="s">
        <v>9</v>
      </c>
      <c r="W76" s="4" t="s">
        <v>0</v>
      </c>
      <c r="X76" s="4" t="s">
        <v>0</v>
      </c>
      <c r="Y76" s="5"/>
      <c r="Z76" s="4" t="s">
        <v>0</v>
      </c>
      <c r="AA76" s="4" t="s">
        <v>0</v>
      </c>
      <c r="AB76" s="4" t="s">
        <v>0</v>
      </c>
      <c r="AC76" s="4" t="s">
        <v>0</v>
      </c>
      <c r="AD76" s="4" t="s">
        <v>0</v>
      </c>
      <c r="AE76" s="4" t="s">
        <v>0</v>
      </c>
      <c r="AF76" s="4" t="s">
        <v>0</v>
      </c>
    </row>
    <row r="77" spans="1:32" ht="25" x14ac:dyDescent="0.25">
      <c r="A77" s="2">
        <v>46098</v>
      </c>
      <c r="B77" t="s">
        <v>324</v>
      </c>
      <c r="C77" t="s">
        <v>52</v>
      </c>
      <c r="D77" t="s">
        <v>325</v>
      </c>
      <c r="E77" t="s">
        <v>325</v>
      </c>
      <c r="F77" t="s">
        <v>4</v>
      </c>
      <c r="G77" s="2">
        <v>46078</v>
      </c>
      <c r="H77" s="2">
        <v>46094</v>
      </c>
      <c r="I77" t="s">
        <v>54</v>
      </c>
      <c r="J77" t="s">
        <v>55</v>
      </c>
      <c r="K77" t="s">
        <v>7</v>
      </c>
      <c r="L77" t="s">
        <v>8</v>
      </c>
      <c r="M77" s="3">
        <v>76200</v>
      </c>
      <c r="N77" s="3" t="s">
        <v>464</v>
      </c>
      <c r="O77" t="s">
        <v>12</v>
      </c>
      <c r="P77" t="s">
        <v>326</v>
      </c>
      <c r="Q77" t="s">
        <v>12</v>
      </c>
      <c r="R77" t="s">
        <v>12</v>
      </c>
      <c r="S77" t="s">
        <v>12</v>
      </c>
      <c r="T77" s="11" t="s">
        <v>327</v>
      </c>
      <c r="U77" s="11" t="s">
        <v>328</v>
      </c>
      <c r="V77" t="s">
        <v>9</v>
      </c>
      <c r="W77" t="s">
        <v>10</v>
      </c>
      <c r="X77" t="s">
        <v>0</v>
      </c>
      <c r="Y77" s="2"/>
      <c r="Z77" t="s">
        <v>11</v>
      </c>
      <c r="AA77" t="s">
        <v>0</v>
      </c>
      <c r="AB77" t="s">
        <v>14</v>
      </c>
      <c r="AC77" t="s">
        <v>16</v>
      </c>
      <c r="AD77" t="s">
        <v>0</v>
      </c>
      <c r="AE77" t="s">
        <v>0</v>
      </c>
      <c r="AF77" t="s">
        <v>0</v>
      </c>
    </row>
    <row r="78" spans="1:32" ht="25" x14ac:dyDescent="0.25">
      <c r="A78" s="2">
        <v>46118</v>
      </c>
      <c r="B78" t="s">
        <v>329</v>
      </c>
      <c r="C78" t="s">
        <v>330</v>
      </c>
      <c r="D78" t="s">
        <v>331</v>
      </c>
      <c r="E78" t="s">
        <v>331</v>
      </c>
      <c r="F78" t="s">
        <v>4</v>
      </c>
      <c r="G78" s="2">
        <v>46079</v>
      </c>
      <c r="H78" s="2">
        <v>46108</v>
      </c>
      <c r="I78" t="s">
        <v>54</v>
      </c>
      <c r="J78" t="s">
        <v>55</v>
      </c>
      <c r="K78" t="s">
        <v>7</v>
      </c>
      <c r="L78" t="s">
        <v>8</v>
      </c>
      <c r="M78" s="3">
        <v>48640</v>
      </c>
      <c r="N78" s="3" t="s">
        <v>464</v>
      </c>
      <c r="O78" t="s">
        <v>19</v>
      </c>
      <c r="P78" t="s">
        <v>326</v>
      </c>
      <c r="Q78" t="s">
        <v>19</v>
      </c>
      <c r="R78" t="s">
        <v>19</v>
      </c>
      <c r="S78" t="s">
        <v>19</v>
      </c>
      <c r="T78" s="11" t="s">
        <v>332</v>
      </c>
      <c r="U78" s="11" t="s">
        <v>333</v>
      </c>
      <c r="V78" t="s">
        <v>9</v>
      </c>
      <c r="W78" t="s">
        <v>10</v>
      </c>
      <c r="X78" t="s">
        <v>0</v>
      </c>
      <c r="Y78" s="2"/>
      <c r="Z78" t="s">
        <v>11</v>
      </c>
      <c r="AA78" t="s">
        <v>0</v>
      </c>
      <c r="AB78" t="s">
        <v>14</v>
      </c>
      <c r="AC78" t="s">
        <v>16</v>
      </c>
      <c r="AD78" t="s">
        <v>0</v>
      </c>
      <c r="AE78" t="s">
        <v>0</v>
      </c>
      <c r="AF78" t="s">
        <v>0</v>
      </c>
    </row>
    <row r="79" spans="1:32" ht="25" x14ac:dyDescent="0.25">
      <c r="A79" s="2">
        <v>46154</v>
      </c>
      <c r="B79" t="s">
        <v>334</v>
      </c>
      <c r="C79" t="s">
        <v>335</v>
      </c>
      <c r="D79" t="s">
        <v>336</v>
      </c>
      <c r="E79" t="s">
        <v>336</v>
      </c>
      <c r="F79" t="s">
        <v>83</v>
      </c>
      <c r="G79" s="2">
        <v>46112</v>
      </c>
      <c r="H79" s="2">
        <v>46112</v>
      </c>
      <c r="I79" t="s">
        <v>54</v>
      </c>
      <c r="J79" t="s">
        <v>55</v>
      </c>
      <c r="K79" t="s">
        <v>7</v>
      </c>
      <c r="L79" t="s">
        <v>84</v>
      </c>
      <c r="M79" s="3">
        <v>-2032</v>
      </c>
      <c r="N79" s="3" t="s">
        <v>466</v>
      </c>
      <c r="O79" t="s">
        <v>12</v>
      </c>
      <c r="P79" t="s">
        <v>326</v>
      </c>
      <c r="Q79" t="s">
        <v>12</v>
      </c>
      <c r="R79" t="s">
        <v>0</v>
      </c>
      <c r="S79" t="s">
        <v>12</v>
      </c>
      <c r="T79" s="11" t="s">
        <v>337</v>
      </c>
      <c r="U79" s="11" t="s">
        <v>338</v>
      </c>
      <c r="V79" t="s">
        <v>9</v>
      </c>
      <c r="W79" t="s">
        <v>10</v>
      </c>
      <c r="X79" t="s">
        <v>0</v>
      </c>
      <c r="Y79" s="2"/>
      <c r="Z79" t="s">
        <v>11</v>
      </c>
      <c r="AA79" t="s">
        <v>0</v>
      </c>
      <c r="AB79" t="s">
        <v>14</v>
      </c>
      <c r="AC79" t="s">
        <v>16</v>
      </c>
      <c r="AD79" t="s">
        <v>339</v>
      </c>
      <c r="AE79" t="s">
        <v>0</v>
      </c>
      <c r="AF79" t="s">
        <v>0</v>
      </c>
    </row>
    <row r="80" spans="1:32" ht="25" x14ac:dyDescent="0.25">
      <c r="A80" s="2">
        <v>46154</v>
      </c>
      <c r="B80" t="s">
        <v>334</v>
      </c>
      <c r="C80" t="s">
        <v>335</v>
      </c>
      <c r="D80" t="s">
        <v>340</v>
      </c>
      <c r="E80" t="s">
        <v>340</v>
      </c>
      <c r="F80" t="s">
        <v>83</v>
      </c>
      <c r="G80" s="2">
        <v>46112</v>
      </c>
      <c r="H80" s="2">
        <v>46112</v>
      </c>
      <c r="I80" t="s">
        <v>54</v>
      </c>
      <c r="J80" t="s">
        <v>55</v>
      </c>
      <c r="K80" t="s">
        <v>7</v>
      </c>
      <c r="L80" t="s">
        <v>84</v>
      </c>
      <c r="M80" s="3">
        <v>-2032</v>
      </c>
      <c r="N80" s="3" t="s">
        <v>466</v>
      </c>
      <c r="O80" t="s">
        <v>12</v>
      </c>
      <c r="P80" t="s">
        <v>326</v>
      </c>
      <c r="Q80" t="s">
        <v>12</v>
      </c>
      <c r="R80" t="s">
        <v>0</v>
      </c>
      <c r="S80" t="s">
        <v>12</v>
      </c>
      <c r="T80" s="11" t="s">
        <v>308</v>
      </c>
      <c r="U80" s="11" t="s">
        <v>338</v>
      </c>
      <c r="V80" t="s">
        <v>9</v>
      </c>
      <c r="W80" t="s">
        <v>10</v>
      </c>
      <c r="X80" t="s">
        <v>0</v>
      </c>
      <c r="Y80" s="2"/>
      <c r="Z80" t="s">
        <v>11</v>
      </c>
      <c r="AA80" t="s">
        <v>0</v>
      </c>
      <c r="AB80" t="s">
        <v>14</v>
      </c>
      <c r="AC80" t="s">
        <v>16</v>
      </c>
      <c r="AD80" t="s">
        <v>341</v>
      </c>
      <c r="AE80" t="s">
        <v>0</v>
      </c>
      <c r="AF80" t="s">
        <v>0</v>
      </c>
    </row>
    <row r="81" spans="1:32" ht="25" x14ac:dyDescent="0.25">
      <c r="A81" s="2">
        <v>46154</v>
      </c>
      <c r="B81" t="s">
        <v>342</v>
      </c>
      <c r="C81" t="s">
        <v>343</v>
      </c>
      <c r="D81" t="s">
        <v>344</v>
      </c>
      <c r="E81" t="s">
        <v>344</v>
      </c>
      <c r="F81" t="s">
        <v>83</v>
      </c>
      <c r="G81" s="2">
        <v>46112</v>
      </c>
      <c r="H81" s="2">
        <v>46112</v>
      </c>
      <c r="I81" t="s">
        <v>54</v>
      </c>
      <c r="J81" t="s">
        <v>55</v>
      </c>
      <c r="K81" t="s">
        <v>7</v>
      </c>
      <c r="L81" t="s">
        <v>84</v>
      </c>
      <c r="M81" s="3">
        <v>-48640</v>
      </c>
      <c r="N81" s="3" t="s">
        <v>466</v>
      </c>
      <c r="O81" t="s">
        <v>19</v>
      </c>
      <c r="P81" t="s">
        <v>326</v>
      </c>
      <c r="Q81" t="s">
        <v>19</v>
      </c>
      <c r="R81" t="s">
        <v>0</v>
      </c>
      <c r="S81" t="s">
        <v>19</v>
      </c>
      <c r="T81" s="11" t="s">
        <v>345</v>
      </c>
      <c r="U81" s="11" t="s">
        <v>338</v>
      </c>
      <c r="V81" t="s">
        <v>9</v>
      </c>
      <c r="W81" t="s">
        <v>10</v>
      </c>
      <c r="X81" t="s">
        <v>0</v>
      </c>
      <c r="Y81" s="2"/>
      <c r="Z81" t="s">
        <v>11</v>
      </c>
      <c r="AA81" t="s">
        <v>0</v>
      </c>
      <c r="AB81" t="s">
        <v>14</v>
      </c>
      <c r="AC81" t="s">
        <v>16</v>
      </c>
      <c r="AD81" t="s">
        <v>346</v>
      </c>
      <c r="AE81" t="s">
        <v>0</v>
      </c>
      <c r="AF81" t="s">
        <v>0</v>
      </c>
    </row>
    <row r="82" spans="1:32" x14ac:dyDescent="0.25">
      <c r="A82" s="5"/>
      <c r="B82" s="4" t="s">
        <v>0</v>
      </c>
      <c r="C82" s="4" t="s">
        <v>0</v>
      </c>
      <c r="D82" s="4" t="s">
        <v>0</v>
      </c>
      <c r="E82" s="4" t="s">
        <v>0</v>
      </c>
      <c r="F82" s="4" t="s">
        <v>0</v>
      </c>
      <c r="G82" s="5"/>
      <c r="H82" s="5"/>
      <c r="I82" s="4" t="s">
        <v>0</v>
      </c>
      <c r="J82" s="4" t="s">
        <v>0</v>
      </c>
      <c r="K82" s="4" t="s">
        <v>0</v>
      </c>
      <c r="L82" s="4" t="s">
        <v>0</v>
      </c>
      <c r="M82" s="6">
        <v>72136</v>
      </c>
      <c r="N82" s="6"/>
      <c r="O82" s="4" t="s">
        <v>0</v>
      </c>
      <c r="P82" s="4" t="s">
        <v>326</v>
      </c>
      <c r="Q82" s="4" t="s">
        <v>0</v>
      </c>
      <c r="R82" s="4" t="s">
        <v>0</v>
      </c>
      <c r="S82" s="4" t="s">
        <v>0</v>
      </c>
      <c r="T82" s="12" t="s">
        <v>0</v>
      </c>
      <c r="U82" s="12" t="s">
        <v>0</v>
      </c>
      <c r="V82" s="4" t="s">
        <v>9</v>
      </c>
      <c r="W82" s="4" t="s">
        <v>0</v>
      </c>
      <c r="X82" s="4" t="s">
        <v>0</v>
      </c>
      <c r="Y82" s="5"/>
      <c r="Z82" s="4" t="s">
        <v>0</v>
      </c>
      <c r="AA82" s="4" t="s">
        <v>0</v>
      </c>
      <c r="AB82" s="4" t="s">
        <v>0</v>
      </c>
      <c r="AC82" s="4" t="s">
        <v>0</v>
      </c>
      <c r="AD82" s="4" t="s">
        <v>0</v>
      </c>
      <c r="AE82" s="4" t="s">
        <v>0</v>
      </c>
      <c r="AF82" s="4" t="s">
        <v>0</v>
      </c>
    </row>
    <row r="83" spans="1:32" ht="25" x14ac:dyDescent="0.25">
      <c r="A83" s="2">
        <v>46052</v>
      </c>
      <c r="B83" t="s">
        <v>347</v>
      </c>
      <c r="C83" t="s">
        <v>239</v>
      </c>
      <c r="D83" t="s">
        <v>348</v>
      </c>
      <c r="E83" t="s">
        <v>348</v>
      </c>
      <c r="F83" t="s">
        <v>4</v>
      </c>
      <c r="G83" s="2">
        <v>46031</v>
      </c>
      <c r="H83" s="2">
        <v>46052</v>
      </c>
      <c r="I83" t="s">
        <v>5</v>
      </c>
      <c r="J83" t="s">
        <v>6</v>
      </c>
      <c r="K83" t="s">
        <v>7</v>
      </c>
      <c r="L83" t="s">
        <v>8</v>
      </c>
      <c r="M83" s="3">
        <v>465000</v>
      </c>
      <c r="N83" s="3" t="s">
        <v>464</v>
      </c>
      <c r="O83" t="s">
        <v>12</v>
      </c>
      <c r="P83" t="s">
        <v>349</v>
      </c>
      <c r="Q83" t="s">
        <v>12</v>
      </c>
      <c r="R83" t="s">
        <v>12</v>
      </c>
      <c r="S83" t="s">
        <v>12</v>
      </c>
      <c r="T83" s="11" t="s">
        <v>350</v>
      </c>
      <c r="U83" s="11" t="s">
        <v>351</v>
      </c>
      <c r="V83" t="s">
        <v>9</v>
      </c>
      <c r="W83" t="s">
        <v>10</v>
      </c>
      <c r="X83" t="s">
        <v>0</v>
      </c>
      <c r="Y83" s="2"/>
      <c r="Z83" t="s">
        <v>11</v>
      </c>
      <c r="AA83" t="s">
        <v>0</v>
      </c>
      <c r="AB83" t="s">
        <v>14</v>
      </c>
      <c r="AC83" t="s">
        <v>16</v>
      </c>
      <c r="AD83" t="s">
        <v>0</v>
      </c>
      <c r="AE83" t="s">
        <v>0</v>
      </c>
      <c r="AF83" t="s">
        <v>0</v>
      </c>
    </row>
    <row r="84" spans="1:32" ht="25" x14ac:dyDescent="0.25">
      <c r="A84" s="2">
        <v>46065</v>
      </c>
      <c r="B84" t="s">
        <v>352</v>
      </c>
      <c r="C84" t="s">
        <v>2</v>
      </c>
      <c r="D84" t="s">
        <v>353</v>
      </c>
      <c r="E84" t="s">
        <v>353</v>
      </c>
      <c r="F84" t="s">
        <v>4</v>
      </c>
      <c r="G84" s="2">
        <v>46042</v>
      </c>
      <c r="H84" s="2">
        <v>46053</v>
      </c>
      <c r="I84" t="s">
        <v>5</v>
      </c>
      <c r="J84" t="s">
        <v>6</v>
      </c>
      <c r="K84" t="s">
        <v>7</v>
      </c>
      <c r="L84" t="s">
        <v>8</v>
      </c>
      <c r="M84" s="3">
        <v>200000</v>
      </c>
      <c r="N84" s="3" t="s">
        <v>464</v>
      </c>
      <c r="O84" t="s">
        <v>161</v>
      </c>
      <c r="P84" t="s">
        <v>349</v>
      </c>
      <c r="Q84" t="s">
        <v>161</v>
      </c>
      <c r="R84" t="s">
        <v>161</v>
      </c>
      <c r="S84" t="s">
        <v>161</v>
      </c>
      <c r="T84" s="11" t="s">
        <v>354</v>
      </c>
      <c r="U84" s="11" t="s">
        <v>355</v>
      </c>
      <c r="V84" t="s">
        <v>9</v>
      </c>
      <c r="W84" t="s">
        <v>10</v>
      </c>
      <c r="X84" t="s">
        <v>0</v>
      </c>
      <c r="Y84" s="2"/>
      <c r="Z84" t="s">
        <v>11</v>
      </c>
      <c r="AA84" t="s">
        <v>0</v>
      </c>
      <c r="AB84" t="s">
        <v>14</v>
      </c>
      <c r="AC84" t="s">
        <v>16</v>
      </c>
      <c r="AD84" t="s">
        <v>0</v>
      </c>
      <c r="AE84" t="s">
        <v>0</v>
      </c>
      <c r="AF84" t="s">
        <v>0</v>
      </c>
    </row>
    <row r="85" spans="1:32" ht="25" x14ac:dyDescent="0.25">
      <c r="A85" s="2">
        <v>46097</v>
      </c>
      <c r="B85" t="s">
        <v>356</v>
      </c>
      <c r="C85" t="s">
        <v>172</v>
      </c>
      <c r="D85" t="s">
        <v>357</v>
      </c>
      <c r="E85" t="s">
        <v>357</v>
      </c>
      <c r="F85" t="s">
        <v>4</v>
      </c>
      <c r="G85" s="2">
        <v>46073</v>
      </c>
      <c r="H85" s="2">
        <v>46090</v>
      </c>
      <c r="I85" t="s">
        <v>54</v>
      </c>
      <c r="J85" t="s">
        <v>55</v>
      </c>
      <c r="K85" t="s">
        <v>7</v>
      </c>
      <c r="L85" t="s">
        <v>8</v>
      </c>
      <c r="M85" s="3">
        <v>200000</v>
      </c>
      <c r="N85" s="3" t="s">
        <v>464</v>
      </c>
      <c r="O85" t="s">
        <v>161</v>
      </c>
      <c r="P85" t="s">
        <v>349</v>
      </c>
      <c r="Q85" t="s">
        <v>161</v>
      </c>
      <c r="R85" t="s">
        <v>161</v>
      </c>
      <c r="S85" t="s">
        <v>161</v>
      </c>
      <c r="T85" s="11" t="s">
        <v>358</v>
      </c>
      <c r="U85" s="11" t="s">
        <v>359</v>
      </c>
      <c r="V85" t="s">
        <v>9</v>
      </c>
      <c r="W85" t="s">
        <v>10</v>
      </c>
      <c r="X85" t="s">
        <v>0</v>
      </c>
      <c r="Y85" s="2"/>
      <c r="Z85" t="s">
        <v>11</v>
      </c>
      <c r="AA85" t="s">
        <v>0</v>
      </c>
      <c r="AB85" t="s">
        <v>14</v>
      </c>
      <c r="AC85" t="s">
        <v>16</v>
      </c>
      <c r="AD85" t="s">
        <v>0</v>
      </c>
      <c r="AE85" t="s">
        <v>0</v>
      </c>
      <c r="AF85" t="s">
        <v>0</v>
      </c>
    </row>
    <row r="86" spans="1:32" ht="25" x14ac:dyDescent="0.25">
      <c r="A86" s="2">
        <v>46098</v>
      </c>
      <c r="B86" t="s">
        <v>360</v>
      </c>
      <c r="C86" t="s">
        <v>52</v>
      </c>
      <c r="D86" t="s">
        <v>361</v>
      </c>
      <c r="E86" t="s">
        <v>361</v>
      </c>
      <c r="F86" t="s">
        <v>4</v>
      </c>
      <c r="G86" s="2">
        <v>46085</v>
      </c>
      <c r="H86" s="2">
        <v>46094</v>
      </c>
      <c r="I86" t="s">
        <v>54</v>
      </c>
      <c r="J86" t="s">
        <v>55</v>
      </c>
      <c r="K86" t="s">
        <v>7</v>
      </c>
      <c r="L86" t="s">
        <v>8</v>
      </c>
      <c r="M86" s="3">
        <v>385000</v>
      </c>
      <c r="N86" s="3" t="s">
        <v>464</v>
      </c>
      <c r="O86" t="s">
        <v>27</v>
      </c>
      <c r="P86" t="s">
        <v>349</v>
      </c>
      <c r="Q86" t="s">
        <v>27</v>
      </c>
      <c r="R86" t="s">
        <v>27</v>
      </c>
      <c r="S86" t="s">
        <v>27</v>
      </c>
      <c r="T86" s="11" t="s">
        <v>362</v>
      </c>
      <c r="U86" s="11" t="s">
        <v>363</v>
      </c>
      <c r="V86" t="s">
        <v>9</v>
      </c>
      <c r="W86" t="s">
        <v>10</v>
      </c>
      <c r="X86" t="s">
        <v>0</v>
      </c>
      <c r="Y86" s="2"/>
      <c r="Z86" t="s">
        <v>11</v>
      </c>
      <c r="AA86" t="s">
        <v>0</v>
      </c>
      <c r="AB86" t="s">
        <v>14</v>
      </c>
      <c r="AC86" t="s">
        <v>16</v>
      </c>
      <c r="AD86" t="s">
        <v>0</v>
      </c>
      <c r="AE86" t="s">
        <v>0</v>
      </c>
      <c r="AF86" t="s">
        <v>0</v>
      </c>
    </row>
    <row r="87" spans="1:32" ht="25" x14ac:dyDescent="0.25">
      <c r="A87" s="2">
        <v>46098</v>
      </c>
      <c r="B87" t="s">
        <v>364</v>
      </c>
      <c r="C87" t="s">
        <v>52</v>
      </c>
      <c r="D87" t="s">
        <v>365</v>
      </c>
      <c r="E87" t="s">
        <v>365</v>
      </c>
      <c r="F87" t="s">
        <v>4</v>
      </c>
      <c r="G87" s="2">
        <v>46085</v>
      </c>
      <c r="H87" s="2">
        <v>46094</v>
      </c>
      <c r="I87" t="s">
        <v>54</v>
      </c>
      <c r="J87" t="s">
        <v>55</v>
      </c>
      <c r="K87" t="s">
        <v>7</v>
      </c>
      <c r="L87" t="s">
        <v>8</v>
      </c>
      <c r="M87" s="3">
        <v>395000</v>
      </c>
      <c r="N87" s="3" t="s">
        <v>464</v>
      </c>
      <c r="O87" t="s">
        <v>27</v>
      </c>
      <c r="P87" t="s">
        <v>349</v>
      </c>
      <c r="Q87" t="s">
        <v>27</v>
      </c>
      <c r="R87" t="s">
        <v>27</v>
      </c>
      <c r="S87" t="s">
        <v>27</v>
      </c>
      <c r="T87" s="11" t="s">
        <v>366</v>
      </c>
      <c r="U87" s="11" t="s">
        <v>367</v>
      </c>
      <c r="V87" t="s">
        <v>9</v>
      </c>
      <c r="W87" t="s">
        <v>10</v>
      </c>
      <c r="X87" t="s">
        <v>0</v>
      </c>
      <c r="Y87" s="2"/>
      <c r="Z87" t="s">
        <v>11</v>
      </c>
      <c r="AA87" t="s">
        <v>0</v>
      </c>
      <c r="AB87" t="s">
        <v>14</v>
      </c>
      <c r="AC87" t="s">
        <v>16</v>
      </c>
      <c r="AD87" t="s">
        <v>0</v>
      </c>
      <c r="AE87" t="s">
        <v>0</v>
      </c>
      <c r="AF87" t="s">
        <v>0</v>
      </c>
    </row>
    <row r="88" spans="1:32" ht="25" x14ac:dyDescent="0.25">
      <c r="A88" s="2">
        <v>46098</v>
      </c>
      <c r="B88" t="s">
        <v>368</v>
      </c>
      <c r="C88" t="s">
        <v>52</v>
      </c>
      <c r="D88" t="s">
        <v>369</v>
      </c>
      <c r="E88" t="s">
        <v>369</v>
      </c>
      <c r="F88" t="s">
        <v>4</v>
      </c>
      <c r="G88" s="2">
        <v>46076</v>
      </c>
      <c r="H88" s="2">
        <v>46094</v>
      </c>
      <c r="I88" t="s">
        <v>54</v>
      </c>
      <c r="J88" t="s">
        <v>55</v>
      </c>
      <c r="K88" t="s">
        <v>7</v>
      </c>
      <c r="L88" t="s">
        <v>8</v>
      </c>
      <c r="M88" s="3">
        <v>169000</v>
      </c>
      <c r="N88" s="3" t="s">
        <v>464</v>
      </c>
      <c r="O88" t="s">
        <v>27</v>
      </c>
      <c r="P88" t="s">
        <v>349</v>
      </c>
      <c r="Q88" t="s">
        <v>27</v>
      </c>
      <c r="R88" t="s">
        <v>27</v>
      </c>
      <c r="S88" t="s">
        <v>27</v>
      </c>
      <c r="T88" s="11" t="s">
        <v>370</v>
      </c>
      <c r="U88" s="11" t="s">
        <v>371</v>
      </c>
      <c r="V88" t="s">
        <v>9</v>
      </c>
      <c r="W88" t="s">
        <v>10</v>
      </c>
      <c r="X88" t="s">
        <v>0</v>
      </c>
      <c r="Y88" s="2"/>
      <c r="Z88" t="s">
        <v>11</v>
      </c>
      <c r="AA88" t="s">
        <v>0</v>
      </c>
      <c r="AB88" t="s">
        <v>14</v>
      </c>
      <c r="AC88" t="s">
        <v>16</v>
      </c>
      <c r="AD88" t="s">
        <v>0</v>
      </c>
      <c r="AE88" t="s">
        <v>0</v>
      </c>
      <c r="AF88" t="s">
        <v>0</v>
      </c>
    </row>
    <row r="89" spans="1:32" ht="25" x14ac:dyDescent="0.25">
      <c r="A89" s="2">
        <v>46107</v>
      </c>
      <c r="B89" t="s">
        <v>372</v>
      </c>
      <c r="C89" t="s">
        <v>67</v>
      </c>
      <c r="D89" t="s">
        <v>373</v>
      </c>
      <c r="E89" t="s">
        <v>373</v>
      </c>
      <c r="F89" t="s">
        <v>4</v>
      </c>
      <c r="G89" s="2">
        <v>46085</v>
      </c>
      <c r="H89" s="2">
        <v>46098</v>
      </c>
      <c r="I89" t="s">
        <v>54</v>
      </c>
      <c r="J89" t="s">
        <v>55</v>
      </c>
      <c r="K89" t="s">
        <v>7</v>
      </c>
      <c r="L89" t="s">
        <v>8</v>
      </c>
      <c r="M89" s="3">
        <v>250000</v>
      </c>
      <c r="N89" s="3" t="s">
        <v>464</v>
      </c>
      <c r="O89" t="s">
        <v>27</v>
      </c>
      <c r="P89" t="s">
        <v>349</v>
      </c>
      <c r="Q89" t="s">
        <v>27</v>
      </c>
      <c r="R89" t="s">
        <v>27</v>
      </c>
      <c r="S89" t="s">
        <v>27</v>
      </c>
      <c r="T89" s="11" t="s">
        <v>374</v>
      </c>
      <c r="U89" s="11" t="s">
        <v>375</v>
      </c>
      <c r="V89" t="s">
        <v>9</v>
      </c>
      <c r="W89" t="s">
        <v>10</v>
      </c>
      <c r="X89" t="s">
        <v>0</v>
      </c>
      <c r="Y89" s="2"/>
      <c r="Z89" t="s">
        <v>11</v>
      </c>
      <c r="AA89" t="s">
        <v>0</v>
      </c>
      <c r="AB89" t="s">
        <v>14</v>
      </c>
      <c r="AC89" t="s">
        <v>16</v>
      </c>
      <c r="AD89" t="s">
        <v>0</v>
      </c>
      <c r="AE89" t="s">
        <v>0</v>
      </c>
      <c r="AF89" t="s">
        <v>0</v>
      </c>
    </row>
    <row r="90" spans="1:32" ht="25" x14ac:dyDescent="0.25">
      <c r="A90" s="2">
        <v>46107</v>
      </c>
      <c r="B90" t="s">
        <v>376</v>
      </c>
      <c r="C90" t="s">
        <v>67</v>
      </c>
      <c r="D90" t="s">
        <v>377</v>
      </c>
      <c r="E90" t="s">
        <v>377</v>
      </c>
      <c r="F90" t="s">
        <v>4</v>
      </c>
      <c r="G90" s="2">
        <v>46078</v>
      </c>
      <c r="H90" s="2">
        <v>46098</v>
      </c>
      <c r="I90" t="s">
        <v>54</v>
      </c>
      <c r="J90" t="s">
        <v>55</v>
      </c>
      <c r="K90" t="s">
        <v>7</v>
      </c>
      <c r="L90" t="s">
        <v>8</v>
      </c>
      <c r="M90" s="3">
        <v>145500</v>
      </c>
      <c r="N90" s="3" t="s">
        <v>464</v>
      </c>
      <c r="O90" t="s">
        <v>27</v>
      </c>
      <c r="P90" t="s">
        <v>349</v>
      </c>
      <c r="Q90" t="s">
        <v>27</v>
      </c>
      <c r="R90" t="s">
        <v>27</v>
      </c>
      <c r="S90" t="s">
        <v>27</v>
      </c>
      <c r="T90" s="11" t="s">
        <v>378</v>
      </c>
      <c r="U90" s="11" t="s">
        <v>379</v>
      </c>
      <c r="V90" t="s">
        <v>9</v>
      </c>
      <c r="W90" t="s">
        <v>10</v>
      </c>
      <c r="X90" t="s">
        <v>0</v>
      </c>
      <c r="Y90" s="2"/>
      <c r="Z90" t="s">
        <v>11</v>
      </c>
      <c r="AA90" t="s">
        <v>0</v>
      </c>
      <c r="AB90" t="s">
        <v>14</v>
      </c>
      <c r="AC90" t="s">
        <v>16</v>
      </c>
      <c r="AD90" t="s">
        <v>0</v>
      </c>
      <c r="AE90" t="s">
        <v>0</v>
      </c>
      <c r="AF90" t="s">
        <v>0</v>
      </c>
    </row>
    <row r="91" spans="1:32" ht="25" x14ac:dyDescent="0.25">
      <c r="A91" s="2">
        <v>46154</v>
      </c>
      <c r="B91" t="s">
        <v>380</v>
      </c>
      <c r="C91" t="s">
        <v>381</v>
      </c>
      <c r="D91" t="s">
        <v>382</v>
      </c>
      <c r="E91" t="s">
        <v>382</v>
      </c>
      <c r="F91" t="s">
        <v>83</v>
      </c>
      <c r="G91" s="2">
        <v>46053</v>
      </c>
      <c r="H91" s="2">
        <v>46053</v>
      </c>
      <c r="I91" t="s">
        <v>5</v>
      </c>
      <c r="J91" t="s">
        <v>6</v>
      </c>
      <c r="K91" t="s">
        <v>7</v>
      </c>
      <c r="L91" t="s">
        <v>84</v>
      </c>
      <c r="M91" s="3">
        <v>-27600</v>
      </c>
      <c r="N91" s="3" t="s">
        <v>466</v>
      </c>
      <c r="O91" t="s">
        <v>12</v>
      </c>
      <c r="P91" t="s">
        <v>349</v>
      </c>
      <c r="Q91" t="s">
        <v>12</v>
      </c>
      <c r="R91" t="s">
        <v>0</v>
      </c>
      <c r="S91" t="s">
        <v>12</v>
      </c>
      <c r="T91" s="11" t="s">
        <v>383</v>
      </c>
      <c r="U91" s="11" t="s">
        <v>384</v>
      </c>
      <c r="V91" t="s">
        <v>9</v>
      </c>
      <c r="W91" t="s">
        <v>10</v>
      </c>
      <c r="X91" t="s">
        <v>0</v>
      </c>
      <c r="Y91" s="2"/>
      <c r="Z91" t="s">
        <v>11</v>
      </c>
      <c r="AA91" t="s">
        <v>0</v>
      </c>
      <c r="AB91" t="s">
        <v>14</v>
      </c>
      <c r="AC91" t="s">
        <v>16</v>
      </c>
      <c r="AD91" t="s">
        <v>385</v>
      </c>
      <c r="AE91" t="s">
        <v>0</v>
      </c>
      <c r="AF91" t="s">
        <v>0</v>
      </c>
    </row>
    <row r="92" spans="1:32" ht="25" x14ac:dyDescent="0.25">
      <c r="A92" s="2">
        <v>46154</v>
      </c>
      <c r="B92" t="s">
        <v>380</v>
      </c>
      <c r="C92" t="s">
        <v>381</v>
      </c>
      <c r="D92" t="s">
        <v>386</v>
      </c>
      <c r="E92" t="s">
        <v>386</v>
      </c>
      <c r="F92" t="s">
        <v>83</v>
      </c>
      <c r="G92" s="2">
        <v>46081</v>
      </c>
      <c r="H92" s="2">
        <v>46081</v>
      </c>
      <c r="I92" t="s">
        <v>94</v>
      </c>
      <c r="J92" t="s">
        <v>95</v>
      </c>
      <c r="K92" t="s">
        <v>7</v>
      </c>
      <c r="L92" t="s">
        <v>84</v>
      </c>
      <c r="M92" s="3">
        <v>-77100</v>
      </c>
      <c r="N92" s="3" t="s">
        <v>466</v>
      </c>
      <c r="O92" t="s">
        <v>12</v>
      </c>
      <c r="P92" t="s">
        <v>349</v>
      </c>
      <c r="Q92" t="s">
        <v>12</v>
      </c>
      <c r="R92" t="s">
        <v>0</v>
      </c>
      <c r="S92" t="s">
        <v>12</v>
      </c>
      <c r="T92" s="11" t="s">
        <v>387</v>
      </c>
      <c r="U92" s="11" t="s">
        <v>384</v>
      </c>
      <c r="V92" t="s">
        <v>9</v>
      </c>
      <c r="W92" t="s">
        <v>10</v>
      </c>
      <c r="X92" t="s">
        <v>0</v>
      </c>
      <c r="Y92" s="2"/>
      <c r="Z92" t="s">
        <v>11</v>
      </c>
      <c r="AA92" t="s">
        <v>0</v>
      </c>
      <c r="AB92" t="s">
        <v>14</v>
      </c>
      <c r="AC92" t="s">
        <v>16</v>
      </c>
      <c r="AD92" t="s">
        <v>388</v>
      </c>
      <c r="AE92" t="s">
        <v>0</v>
      </c>
      <c r="AF92" t="s">
        <v>0</v>
      </c>
    </row>
    <row r="93" spans="1:32" ht="25" x14ac:dyDescent="0.25">
      <c r="A93" s="2">
        <v>46154</v>
      </c>
      <c r="B93" t="s">
        <v>380</v>
      </c>
      <c r="C93" t="s">
        <v>381</v>
      </c>
      <c r="D93" t="s">
        <v>389</v>
      </c>
      <c r="E93" t="s">
        <v>389</v>
      </c>
      <c r="F93" t="s">
        <v>83</v>
      </c>
      <c r="G93" s="2">
        <v>46112</v>
      </c>
      <c r="H93" s="2">
        <v>46112</v>
      </c>
      <c r="I93" t="s">
        <v>54</v>
      </c>
      <c r="J93" t="s">
        <v>55</v>
      </c>
      <c r="K93" t="s">
        <v>7</v>
      </c>
      <c r="L93" t="s">
        <v>84</v>
      </c>
      <c r="M93" s="3">
        <v>-70500</v>
      </c>
      <c r="N93" s="3" t="s">
        <v>466</v>
      </c>
      <c r="O93" t="s">
        <v>12</v>
      </c>
      <c r="P93" t="s">
        <v>349</v>
      </c>
      <c r="Q93" t="s">
        <v>12</v>
      </c>
      <c r="R93" t="s">
        <v>0</v>
      </c>
      <c r="S93" t="s">
        <v>12</v>
      </c>
      <c r="T93" s="11" t="s">
        <v>390</v>
      </c>
      <c r="U93" s="11" t="s">
        <v>384</v>
      </c>
      <c r="V93" t="s">
        <v>9</v>
      </c>
      <c r="W93" t="s">
        <v>10</v>
      </c>
      <c r="X93" t="s">
        <v>0</v>
      </c>
      <c r="Y93" s="2"/>
      <c r="Z93" t="s">
        <v>11</v>
      </c>
      <c r="AA93" t="s">
        <v>0</v>
      </c>
      <c r="AB93" t="s">
        <v>14</v>
      </c>
      <c r="AC93" t="s">
        <v>16</v>
      </c>
      <c r="AD93" t="s">
        <v>391</v>
      </c>
      <c r="AE93" t="s">
        <v>0</v>
      </c>
      <c r="AF93" t="s">
        <v>0</v>
      </c>
    </row>
    <row r="94" spans="1:32" ht="25" x14ac:dyDescent="0.25">
      <c r="A94" s="2">
        <v>46154</v>
      </c>
      <c r="B94" t="s">
        <v>392</v>
      </c>
      <c r="C94" t="s">
        <v>393</v>
      </c>
      <c r="D94" t="s">
        <v>394</v>
      </c>
      <c r="E94" t="s">
        <v>394</v>
      </c>
      <c r="F94" t="s">
        <v>83</v>
      </c>
      <c r="G94" s="2">
        <v>46053</v>
      </c>
      <c r="H94" s="2">
        <v>46053</v>
      </c>
      <c r="I94" t="s">
        <v>5</v>
      </c>
      <c r="J94" t="s">
        <v>6</v>
      </c>
      <c r="K94" t="s">
        <v>7</v>
      </c>
      <c r="L94" t="s">
        <v>84</v>
      </c>
      <c r="M94" s="3">
        <v>-97258.66</v>
      </c>
      <c r="N94" s="3" t="s">
        <v>466</v>
      </c>
      <c r="O94" t="s">
        <v>161</v>
      </c>
      <c r="P94" t="s">
        <v>349</v>
      </c>
      <c r="Q94" t="s">
        <v>161</v>
      </c>
      <c r="R94" t="s">
        <v>0</v>
      </c>
      <c r="S94" t="s">
        <v>161</v>
      </c>
      <c r="T94" s="11" t="s">
        <v>395</v>
      </c>
      <c r="U94" s="11" t="s">
        <v>384</v>
      </c>
      <c r="V94" t="s">
        <v>9</v>
      </c>
      <c r="W94" t="s">
        <v>10</v>
      </c>
      <c r="X94" t="s">
        <v>0</v>
      </c>
      <c r="Y94" s="2"/>
      <c r="Z94" t="s">
        <v>11</v>
      </c>
      <c r="AA94" t="s">
        <v>0</v>
      </c>
      <c r="AB94" t="s">
        <v>14</v>
      </c>
      <c r="AC94" t="s">
        <v>16</v>
      </c>
      <c r="AD94" t="s">
        <v>396</v>
      </c>
      <c r="AE94" t="s">
        <v>0</v>
      </c>
      <c r="AF94" t="s">
        <v>0</v>
      </c>
    </row>
    <row r="95" spans="1:32" ht="25" x14ac:dyDescent="0.25">
      <c r="A95" s="2">
        <v>46154</v>
      </c>
      <c r="B95" t="s">
        <v>392</v>
      </c>
      <c r="C95" t="s">
        <v>393</v>
      </c>
      <c r="D95" t="s">
        <v>397</v>
      </c>
      <c r="E95" t="s">
        <v>397</v>
      </c>
      <c r="F95" t="s">
        <v>83</v>
      </c>
      <c r="G95" s="2">
        <v>46081</v>
      </c>
      <c r="H95" s="2">
        <v>46081</v>
      </c>
      <c r="I95" t="s">
        <v>94</v>
      </c>
      <c r="J95" t="s">
        <v>95</v>
      </c>
      <c r="K95" t="s">
        <v>7</v>
      </c>
      <c r="L95" t="s">
        <v>84</v>
      </c>
      <c r="M95" s="3">
        <v>-34699.68</v>
      </c>
      <c r="N95" s="3" t="s">
        <v>466</v>
      </c>
      <c r="O95" t="s">
        <v>161</v>
      </c>
      <c r="P95" t="s">
        <v>349</v>
      </c>
      <c r="Q95" t="s">
        <v>161</v>
      </c>
      <c r="R95" t="s">
        <v>0</v>
      </c>
      <c r="S95" t="s">
        <v>161</v>
      </c>
      <c r="T95" s="11" t="s">
        <v>398</v>
      </c>
      <c r="U95" s="11" t="s">
        <v>384</v>
      </c>
      <c r="V95" t="s">
        <v>9</v>
      </c>
      <c r="W95" t="s">
        <v>10</v>
      </c>
      <c r="X95" t="s">
        <v>0</v>
      </c>
      <c r="Y95" s="2"/>
      <c r="Z95" t="s">
        <v>11</v>
      </c>
      <c r="AA95" t="s">
        <v>0</v>
      </c>
      <c r="AB95" t="s">
        <v>14</v>
      </c>
      <c r="AC95" t="s">
        <v>16</v>
      </c>
      <c r="AD95" t="s">
        <v>399</v>
      </c>
      <c r="AE95" t="s">
        <v>0</v>
      </c>
      <c r="AF95" t="s">
        <v>0</v>
      </c>
    </row>
    <row r="96" spans="1:32" ht="25" x14ac:dyDescent="0.25">
      <c r="A96" s="2">
        <v>46154</v>
      </c>
      <c r="B96" t="s">
        <v>392</v>
      </c>
      <c r="C96" t="s">
        <v>393</v>
      </c>
      <c r="D96" t="s">
        <v>400</v>
      </c>
      <c r="E96" t="s">
        <v>400</v>
      </c>
      <c r="F96" t="s">
        <v>83</v>
      </c>
      <c r="G96" s="2">
        <v>46112</v>
      </c>
      <c r="H96" s="2">
        <v>46112</v>
      </c>
      <c r="I96" t="s">
        <v>54</v>
      </c>
      <c r="J96" t="s">
        <v>55</v>
      </c>
      <c r="K96" t="s">
        <v>7</v>
      </c>
      <c r="L96" t="s">
        <v>84</v>
      </c>
      <c r="M96" s="3">
        <v>-65950.080000000002</v>
      </c>
      <c r="N96" s="3" t="s">
        <v>466</v>
      </c>
      <c r="O96" t="s">
        <v>161</v>
      </c>
      <c r="P96" t="s">
        <v>349</v>
      </c>
      <c r="Q96" t="s">
        <v>161</v>
      </c>
      <c r="R96" t="s">
        <v>0</v>
      </c>
      <c r="S96" t="s">
        <v>161</v>
      </c>
      <c r="T96" s="11" t="s">
        <v>401</v>
      </c>
      <c r="U96" s="11" t="s">
        <v>384</v>
      </c>
      <c r="V96" t="s">
        <v>9</v>
      </c>
      <c r="W96" t="s">
        <v>10</v>
      </c>
      <c r="X96" t="s">
        <v>0</v>
      </c>
      <c r="Y96" s="2"/>
      <c r="Z96" t="s">
        <v>11</v>
      </c>
      <c r="AA96" t="s">
        <v>0</v>
      </c>
      <c r="AB96" t="s">
        <v>14</v>
      </c>
      <c r="AC96" t="s">
        <v>16</v>
      </c>
      <c r="AD96" t="s">
        <v>402</v>
      </c>
      <c r="AE96" t="s">
        <v>0</v>
      </c>
      <c r="AF96" t="s">
        <v>0</v>
      </c>
    </row>
    <row r="97" spans="1:32" ht="25" x14ac:dyDescent="0.25">
      <c r="A97" s="2">
        <v>46154</v>
      </c>
      <c r="B97" t="s">
        <v>403</v>
      </c>
      <c r="C97" t="s">
        <v>404</v>
      </c>
      <c r="D97" t="s">
        <v>405</v>
      </c>
      <c r="E97" t="s">
        <v>405</v>
      </c>
      <c r="F97" t="s">
        <v>83</v>
      </c>
      <c r="G97" s="2">
        <v>46112</v>
      </c>
      <c r="H97" s="2">
        <v>46112</v>
      </c>
      <c r="I97" t="s">
        <v>54</v>
      </c>
      <c r="J97" t="s">
        <v>55</v>
      </c>
      <c r="K97" t="s">
        <v>7</v>
      </c>
      <c r="L97" t="s">
        <v>84</v>
      </c>
      <c r="M97" s="3">
        <v>-148113.60000000001</v>
      </c>
      <c r="N97" s="3" t="s">
        <v>466</v>
      </c>
      <c r="O97" t="s">
        <v>161</v>
      </c>
      <c r="P97" t="s">
        <v>349</v>
      </c>
      <c r="Q97" t="s">
        <v>161</v>
      </c>
      <c r="R97" t="s">
        <v>0</v>
      </c>
      <c r="S97" t="s">
        <v>161</v>
      </c>
      <c r="T97" s="11" t="s">
        <v>406</v>
      </c>
      <c r="U97" s="11" t="s">
        <v>384</v>
      </c>
      <c r="V97" t="s">
        <v>9</v>
      </c>
      <c r="W97" t="s">
        <v>10</v>
      </c>
      <c r="X97" t="s">
        <v>0</v>
      </c>
      <c r="Y97" s="2"/>
      <c r="Z97" t="s">
        <v>11</v>
      </c>
      <c r="AA97" t="s">
        <v>0</v>
      </c>
      <c r="AB97" t="s">
        <v>14</v>
      </c>
      <c r="AC97" t="s">
        <v>16</v>
      </c>
      <c r="AD97" t="s">
        <v>407</v>
      </c>
      <c r="AE97" t="s">
        <v>0</v>
      </c>
      <c r="AF97" t="s">
        <v>0</v>
      </c>
    </row>
    <row r="98" spans="1:32" ht="25" x14ac:dyDescent="0.25">
      <c r="A98" s="2">
        <v>46154</v>
      </c>
      <c r="B98" t="s">
        <v>408</v>
      </c>
      <c r="C98" t="s">
        <v>409</v>
      </c>
      <c r="D98" t="s">
        <v>410</v>
      </c>
      <c r="E98" t="s">
        <v>410</v>
      </c>
      <c r="F98" t="s">
        <v>83</v>
      </c>
      <c r="G98" s="2">
        <v>46112</v>
      </c>
      <c r="H98" s="2">
        <v>46112</v>
      </c>
      <c r="I98" t="s">
        <v>54</v>
      </c>
      <c r="J98" t="s">
        <v>55</v>
      </c>
      <c r="K98" t="s">
        <v>7</v>
      </c>
      <c r="L98" t="s">
        <v>84</v>
      </c>
      <c r="M98" s="3">
        <v>-13748.4</v>
      </c>
      <c r="N98" s="3" t="s">
        <v>466</v>
      </c>
      <c r="O98" t="s">
        <v>27</v>
      </c>
      <c r="P98" t="s">
        <v>349</v>
      </c>
      <c r="Q98" t="s">
        <v>27</v>
      </c>
      <c r="R98" t="s">
        <v>0</v>
      </c>
      <c r="S98" t="s">
        <v>27</v>
      </c>
      <c r="T98" s="11" t="s">
        <v>411</v>
      </c>
      <c r="U98" s="11" t="s">
        <v>384</v>
      </c>
      <c r="V98" t="s">
        <v>9</v>
      </c>
      <c r="W98" t="s">
        <v>10</v>
      </c>
      <c r="X98" t="s">
        <v>0</v>
      </c>
      <c r="Y98" s="2"/>
      <c r="Z98" t="s">
        <v>11</v>
      </c>
      <c r="AA98" t="s">
        <v>0</v>
      </c>
      <c r="AB98" t="s">
        <v>14</v>
      </c>
      <c r="AC98" t="s">
        <v>16</v>
      </c>
      <c r="AD98" t="s">
        <v>412</v>
      </c>
      <c r="AE98" t="s">
        <v>0</v>
      </c>
      <c r="AF98" t="s">
        <v>0</v>
      </c>
    </row>
    <row r="99" spans="1:32" ht="25" x14ac:dyDescent="0.25">
      <c r="A99" s="2">
        <v>46154</v>
      </c>
      <c r="B99" t="s">
        <v>413</v>
      </c>
      <c r="C99" t="s">
        <v>414</v>
      </c>
      <c r="D99" t="s">
        <v>415</v>
      </c>
      <c r="E99" t="s">
        <v>415</v>
      </c>
      <c r="F99" t="s">
        <v>83</v>
      </c>
      <c r="G99" s="2">
        <v>46112</v>
      </c>
      <c r="H99" s="2">
        <v>46112</v>
      </c>
      <c r="I99" t="s">
        <v>54</v>
      </c>
      <c r="J99" t="s">
        <v>55</v>
      </c>
      <c r="K99" t="s">
        <v>7</v>
      </c>
      <c r="L99" t="s">
        <v>84</v>
      </c>
      <c r="M99" s="3">
        <v>-20103.439999999999</v>
      </c>
      <c r="N99" s="3" t="s">
        <v>466</v>
      </c>
      <c r="O99" t="s">
        <v>27</v>
      </c>
      <c r="P99" t="s">
        <v>349</v>
      </c>
      <c r="Q99" t="s">
        <v>27</v>
      </c>
      <c r="R99" t="s">
        <v>0</v>
      </c>
      <c r="S99" t="s">
        <v>27</v>
      </c>
      <c r="T99" s="11" t="s">
        <v>416</v>
      </c>
      <c r="U99" s="11" t="s">
        <v>384</v>
      </c>
      <c r="V99" t="s">
        <v>9</v>
      </c>
      <c r="W99" t="s">
        <v>10</v>
      </c>
      <c r="X99" t="s">
        <v>0</v>
      </c>
      <c r="Y99" s="2"/>
      <c r="Z99" t="s">
        <v>11</v>
      </c>
      <c r="AA99" t="s">
        <v>0</v>
      </c>
      <c r="AB99" t="s">
        <v>14</v>
      </c>
      <c r="AC99" t="s">
        <v>16</v>
      </c>
      <c r="AD99" t="s">
        <v>417</v>
      </c>
      <c r="AE99" t="s">
        <v>0</v>
      </c>
      <c r="AF99" t="s">
        <v>0</v>
      </c>
    </row>
    <row r="100" spans="1:32" ht="25" x14ac:dyDescent="0.25">
      <c r="A100" s="2">
        <v>46154</v>
      </c>
      <c r="B100" t="s">
        <v>418</v>
      </c>
      <c r="C100" t="s">
        <v>419</v>
      </c>
      <c r="D100" t="s">
        <v>420</v>
      </c>
      <c r="E100" t="s">
        <v>420</v>
      </c>
      <c r="F100" t="s">
        <v>83</v>
      </c>
      <c r="G100" s="2">
        <v>46112</v>
      </c>
      <c r="H100" s="2">
        <v>46112</v>
      </c>
      <c r="I100" t="s">
        <v>54</v>
      </c>
      <c r="J100" t="s">
        <v>55</v>
      </c>
      <c r="K100" t="s">
        <v>7</v>
      </c>
      <c r="L100" t="s">
        <v>84</v>
      </c>
      <c r="M100" s="3">
        <v>-106776.61</v>
      </c>
      <c r="N100" s="3" t="s">
        <v>466</v>
      </c>
      <c r="O100" t="s">
        <v>27</v>
      </c>
      <c r="P100" t="s">
        <v>349</v>
      </c>
      <c r="Q100" t="s">
        <v>27</v>
      </c>
      <c r="R100" t="s">
        <v>0</v>
      </c>
      <c r="S100" t="s">
        <v>27</v>
      </c>
      <c r="T100" s="11" t="s">
        <v>421</v>
      </c>
      <c r="U100" s="11" t="s">
        <v>384</v>
      </c>
      <c r="V100" t="s">
        <v>9</v>
      </c>
      <c r="W100" t="s">
        <v>10</v>
      </c>
      <c r="X100" t="s">
        <v>0</v>
      </c>
      <c r="Y100" s="2"/>
      <c r="Z100" t="s">
        <v>11</v>
      </c>
      <c r="AA100" t="s">
        <v>0</v>
      </c>
      <c r="AB100" t="s">
        <v>14</v>
      </c>
      <c r="AC100" t="s">
        <v>16</v>
      </c>
      <c r="AD100" t="s">
        <v>422</v>
      </c>
      <c r="AE100" t="s">
        <v>0</v>
      </c>
      <c r="AF100" t="s">
        <v>0</v>
      </c>
    </row>
    <row r="101" spans="1:32" ht="25" x14ac:dyDescent="0.25">
      <c r="A101" s="2">
        <v>46154</v>
      </c>
      <c r="B101" t="s">
        <v>423</v>
      </c>
      <c r="C101" t="s">
        <v>424</v>
      </c>
      <c r="D101" t="s">
        <v>425</v>
      </c>
      <c r="E101" t="s">
        <v>425</v>
      </c>
      <c r="F101" t="s">
        <v>83</v>
      </c>
      <c r="G101" s="2">
        <v>46112</v>
      </c>
      <c r="H101" s="2">
        <v>46112</v>
      </c>
      <c r="I101" t="s">
        <v>54</v>
      </c>
      <c r="J101" t="s">
        <v>55</v>
      </c>
      <c r="K101" t="s">
        <v>7</v>
      </c>
      <c r="L101" t="s">
        <v>84</v>
      </c>
      <c r="M101" s="3">
        <v>-8899.2000000000007</v>
      </c>
      <c r="N101" s="3" t="s">
        <v>466</v>
      </c>
      <c r="O101" t="s">
        <v>27</v>
      </c>
      <c r="P101" t="s">
        <v>349</v>
      </c>
      <c r="Q101" t="s">
        <v>27</v>
      </c>
      <c r="R101" t="s">
        <v>0</v>
      </c>
      <c r="S101" t="s">
        <v>27</v>
      </c>
      <c r="T101" s="11" t="s">
        <v>426</v>
      </c>
      <c r="U101" s="11" t="s">
        <v>384</v>
      </c>
      <c r="V101" t="s">
        <v>9</v>
      </c>
      <c r="W101" t="s">
        <v>10</v>
      </c>
      <c r="X101" t="s">
        <v>0</v>
      </c>
      <c r="Y101" s="2"/>
      <c r="Z101" t="s">
        <v>11</v>
      </c>
      <c r="AA101" t="s">
        <v>0</v>
      </c>
      <c r="AB101" t="s">
        <v>14</v>
      </c>
      <c r="AC101" t="s">
        <v>16</v>
      </c>
      <c r="AD101" t="s">
        <v>427</v>
      </c>
      <c r="AE101" t="s">
        <v>0</v>
      </c>
      <c r="AF101" t="s">
        <v>0</v>
      </c>
    </row>
    <row r="102" spans="1:32" ht="25" x14ac:dyDescent="0.25">
      <c r="A102" s="2">
        <v>46154</v>
      </c>
      <c r="B102" t="s">
        <v>428</v>
      </c>
      <c r="C102" t="s">
        <v>429</v>
      </c>
      <c r="D102" t="s">
        <v>430</v>
      </c>
      <c r="E102" t="s">
        <v>430</v>
      </c>
      <c r="F102" t="s">
        <v>83</v>
      </c>
      <c r="G102" s="2">
        <v>46112</v>
      </c>
      <c r="H102" s="2">
        <v>46112</v>
      </c>
      <c r="I102" t="s">
        <v>54</v>
      </c>
      <c r="J102" t="s">
        <v>55</v>
      </c>
      <c r="K102" t="s">
        <v>7</v>
      </c>
      <c r="L102" t="s">
        <v>84</v>
      </c>
      <c r="M102" s="3">
        <v>-101900</v>
      </c>
      <c r="N102" s="3" t="s">
        <v>466</v>
      </c>
      <c r="O102" t="s">
        <v>27</v>
      </c>
      <c r="P102" t="s">
        <v>349</v>
      </c>
      <c r="Q102" t="s">
        <v>27</v>
      </c>
      <c r="R102" t="s">
        <v>0</v>
      </c>
      <c r="S102" t="s">
        <v>27</v>
      </c>
      <c r="T102" s="11" t="s">
        <v>431</v>
      </c>
      <c r="U102" s="11" t="s">
        <v>384</v>
      </c>
      <c r="V102" t="s">
        <v>9</v>
      </c>
      <c r="W102" t="s">
        <v>10</v>
      </c>
      <c r="X102" t="s">
        <v>0</v>
      </c>
      <c r="Y102" s="2"/>
      <c r="Z102" t="s">
        <v>11</v>
      </c>
      <c r="AA102" t="s">
        <v>0</v>
      </c>
      <c r="AB102" t="s">
        <v>14</v>
      </c>
      <c r="AC102" t="s">
        <v>16</v>
      </c>
      <c r="AD102" t="s">
        <v>432</v>
      </c>
      <c r="AE102" t="s">
        <v>0</v>
      </c>
      <c r="AF102" t="s">
        <v>0</v>
      </c>
    </row>
    <row r="103" spans="1:32" x14ac:dyDescent="0.25">
      <c r="A103" s="5"/>
      <c r="B103" s="4" t="s">
        <v>0</v>
      </c>
      <c r="C103" s="4" t="s">
        <v>0</v>
      </c>
      <c r="D103" s="4" t="s">
        <v>0</v>
      </c>
      <c r="E103" s="4" t="s">
        <v>0</v>
      </c>
      <c r="F103" s="4" t="s">
        <v>0</v>
      </c>
      <c r="G103" s="5"/>
      <c r="H103" s="5"/>
      <c r="I103" s="4" t="s">
        <v>0</v>
      </c>
      <c r="J103" s="4" t="s">
        <v>0</v>
      </c>
      <c r="K103" s="4" t="s">
        <v>0</v>
      </c>
      <c r="L103" s="4" t="s">
        <v>0</v>
      </c>
      <c r="M103" s="6">
        <v>1436850.33</v>
      </c>
      <c r="N103" s="6"/>
      <c r="O103" s="4" t="s">
        <v>0</v>
      </c>
      <c r="P103" s="4" t="s">
        <v>349</v>
      </c>
      <c r="Q103" s="4" t="s">
        <v>0</v>
      </c>
      <c r="R103" s="4" t="s">
        <v>0</v>
      </c>
      <c r="S103" s="4" t="s">
        <v>0</v>
      </c>
      <c r="T103" s="12" t="s">
        <v>0</v>
      </c>
      <c r="U103" s="12" t="s">
        <v>0</v>
      </c>
      <c r="V103" s="4" t="s">
        <v>9</v>
      </c>
      <c r="W103" s="4" t="s">
        <v>0</v>
      </c>
      <c r="X103" s="4" t="s">
        <v>0</v>
      </c>
      <c r="Y103" s="5"/>
      <c r="Z103" s="4" t="s">
        <v>0</v>
      </c>
      <c r="AA103" s="4" t="s">
        <v>0</v>
      </c>
      <c r="AB103" s="4" t="s">
        <v>0</v>
      </c>
      <c r="AC103" s="4" t="s">
        <v>0</v>
      </c>
      <c r="AD103" s="4" t="s">
        <v>0</v>
      </c>
      <c r="AE103" s="4" t="s">
        <v>0</v>
      </c>
      <c r="AF103" s="4" t="s">
        <v>0</v>
      </c>
    </row>
    <row r="104" spans="1:32" x14ac:dyDescent="0.25">
      <c r="A104" s="8"/>
      <c r="B104" s="7" t="s">
        <v>0</v>
      </c>
      <c r="C104" s="7" t="s">
        <v>0</v>
      </c>
      <c r="D104" s="7" t="s">
        <v>0</v>
      </c>
      <c r="E104" s="7" t="s">
        <v>0</v>
      </c>
      <c r="F104" s="7" t="s">
        <v>0</v>
      </c>
      <c r="G104" s="8"/>
      <c r="H104" s="8"/>
      <c r="I104" s="7" t="s">
        <v>0</v>
      </c>
      <c r="J104" s="7" t="s">
        <v>0</v>
      </c>
      <c r="K104" s="7" t="s">
        <v>0</v>
      </c>
      <c r="L104" s="7" t="s">
        <v>0</v>
      </c>
      <c r="M104" s="9">
        <v>11264533.199999999</v>
      </c>
      <c r="N104" s="9"/>
      <c r="O104" s="7" t="s">
        <v>0</v>
      </c>
      <c r="P104" s="7" t="s">
        <v>0</v>
      </c>
      <c r="Q104" s="7" t="s">
        <v>0</v>
      </c>
      <c r="R104" s="7" t="s">
        <v>0</v>
      </c>
      <c r="S104" s="7" t="s">
        <v>0</v>
      </c>
      <c r="T104" s="13" t="s">
        <v>0</v>
      </c>
      <c r="U104" s="13" t="s">
        <v>0</v>
      </c>
      <c r="V104" s="7" t="s">
        <v>9</v>
      </c>
      <c r="W104" s="7" t="s">
        <v>0</v>
      </c>
      <c r="X104" s="7" t="s">
        <v>0</v>
      </c>
      <c r="Y104" s="8"/>
      <c r="Z104" s="7" t="s">
        <v>0</v>
      </c>
      <c r="AA104" s="7" t="s">
        <v>0</v>
      </c>
      <c r="AB104" s="7" t="s">
        <v>0</v>
      </c>
      <c r="AC104" s="7" t="s">
        <v>0</v>
      </c>
      <c r="AD104" s="7" t="s">
        <v>0</v>
      </c>
      <c r="AE104" s="7" t="s">
        <v>0</v>
      </c>
      <c r="AF104" s="7" t="s">
        <v>0</v>
      </c>
    </row>
  </sheetData>
  <autoFilter ref="A1:AI104" xr:uid="{00000000-0001-0000-0000-000000000000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8E163-DE52-46C9-9D89-7E079BB682A6}">
  <dimension ref="A1:K21"/>
  <sheetViews>
    <sheetView workbookViewId="0">
      <selection activeCell="D26" sqref="D26"/>
    </sheetView>
  </sheetViews>
  <sheetFormatPr defaultRowHeight="12.5" x14ac:dyDescent="0.25"/>
  <cols>
    <col min="1" max="1" width="14.81640625" customWidth="1"/>
    <col min="2" max="2" width="16.54296875" customWidth="1"/>
    <col min="3" max="5" width="13.81640625" bestFit="1" customWidth="1"/>
    <col min="6" max="6" width="15.81640625" customWidth="1"/>
    <col min="7" max="9" width="11.1796875" bestFit="1" customWidth="1"/>
    <col min="10" max="10" width="12.7265625" bestFit="1" customWidth="1"/>
    <col min="11" max="11" width="13.81640625" bestFit="1" customWidth="1"/>
  </cols>
  <sheetData>
    <row r="1" spans="1:11" x14ac:dyDescent="0.25">
      <c r="A1" t="s">
        <v>470</v>
      </c>
    </row>
    <row r="2" spans="1:11" ht="13" x14ac:dyDescent="0.25">
      <c r="A2" t="s">
        <v>467</v>
      </c>
      <c r="B2" s="17" t="s">
        <v>13</v>
      </c>
      <c r="C2" s="17" t="s">
        <v>162</v>
      </c>
      <c r="D2" s="17" t="s">
        <v>241</v>
      </c>
      <c r="E2" s="17" t="s">
        <v>286</v>
      </c>
      <c r="F2" s="17" t="s">
        <v>302</v>
      </c>
      <c r="G2" s="17" t="s">
        <v>313</v>
      </c>
      <c r="H2" s="17" t="s">
        <v>318</v>
      </c>
      <c r="I2" s="17" t="s">
        <v>326</v>
      </c>
      <c r="J2" s="17" t="s">
        <v>349</v>
      </c>
      <c r="K2" s="17" t="s">
        <v>468</v>
      </c>
    </row>
    <row r="3" spans="1:11" x14ac:dyDescent="0.25">
      <c r="A3" t="s">
        <v>464</v>
      </c>
      <c r="B3" s="16">
        <v>21851755.039999999</v>
      </c>
      <c r="C3" s="16">
        <v>4173620.16</v>
      </c>
      <c r="D3" s="16">
        <v>704500</v>
      </c>
      <c r="E3" s="16">
        <v>1500000</v>
      </c>
      <c r="F3" s="16">
        <v>91440</v>
      </c>
      <c r="G3" s="16">
        <v>91440</v>
      </c>
      <c r="H3" s="16">
        <v>91440</v>
      </c>
      <c r="I3" s="16">
        <v>124840</v>
      </c>
      <c r="J3" s="16">
        <v>2209500</v>
      </c>
      <c r="K3" s="16">
        <v>30838535.199999999</v>
      </c>
    </row>
    <row r="4" spans="1:11" x14ac:dyDescent="0.25">
      <c r="A4" t="s">
        <v>465</v>
      </c>
      <c r="B4" s="16"/>
      <c r="C4" s="16">
        <v>-5695</v>
      </c>
      <c r="D4" s="16"/>
      <c r="E4" s="16"/>
      <c r="F4" s="16"/>
      <c r="G4" s="16"/>
      <c r="H4" s="16"/>
      <c r="I4" s="16"/>
      <c r="J4" s="16"/>
      <c r="K4" s="16">
        <v>-5695</v>
      </c>
    </row>
    <row r="5" spans="1:11" x14ac:dyDescent="0.25">
      <c r="A5" t="s">
        <v>466</v>
      </c>
      <c r="B5" s="16">
        <v>-16660711.989999998</v>
      </c>
      <c r="C5" s="16">
        <v>-729893.73</v>
      </c>
      <c r="D5" s="16">
        <v>-455427.50999999995</v>
      </c>
      <c r="E5" s="16">
        <v>-821428.1</v>
      </c>
      <c r="F5" s="16">
        <v>-70104</v>
      </c>
      <c r="G5" s="16"/>
      <c r="H5" s="16">
        <v>-5388</v>
      </c>
      <c r="I5" s="16">
        <v>-52704</v>
      </c>
      <c r="J5" s="16">
        <v>-772649.66999999993</v>
      </c>
      <c r="K5" s="16">
        <v>-19568307</v>
      </c>
    </row>
    <row r="6" spans="1:11" s="18" customFormat="1" ht="13" x14ac:dyDescent="0.25">
      <c r="A6" s="18" t="s">
        <v>468</v>
      </c>
      <c r="B6" s="19">
        <f>SUM(B3:B5)</f>
        <v>5191043.0500000007</v>
      </c>
      <c r="C6" s="19">
        <f t="shared" ref="C6:K6" si="0">SUM(C3:C5)</f>
        <v>3438031.43</v>
      </c>
      <c r="D6" s="19">
        <f t="shared" si="0"/>
        <v>249072.49000000005</v>
      </c>
      <c r="E6" s="19">
        <f t="shared" si="0"/>
        <v>678571.9</v>
      </c>
      <c r="F6" s="19">
        <f t="shared" si="0"/>
        <v>21336</v>
      </c>
      <c r="G6" s="19">
        <f t="shared" si="0"/>
        <v>91440</v>
      </c>
      <c r="H6" s="19">
        <f t="shared" si="0"/>
        <v>86052</v>
      </c>
      <c r="I6" s="19">
        <f t="shared" si="0"/>
        <v>72136</v>
      </c>
      <c r="J6" s="19">
        <f t="shared" si="0"/>
        <v>1436850.33</v>
      </c>
      <c r="K6" s="19">
        <f t="shared" si="0"/>
        <v>11264533.199999999</v>
      </c>
    </row>
    <row r="11" spans="1:11" ht="13" x14ac:dyDescent="0.25">
      <c r="A11" s="18" t="s">
        <v>467</v>
      </c>
      <c r="B11" s="18"/>
      <c r="C11" s="17" t="s">
        <v>464</v>
      </c>
      <c r="D11" s="17" t="s">
        <v>466</v>
      </c>
      <c r="E11" s="17" t="s">
        <v>465</v>
      </c>
      <c r="F11" s="17" t="s">
        <v>468</v>
      </c>
    </row>
    <row r="12" spans="1:11" x14ac:dyDescent="0.25">
      <c r="A12" t="s">
        <v>13</v>
      </c>
      <c r="B12" t="s">
        <v>489</v>
      </c>
      <c r="C12" s="16">
        <v>21851755.039999999</v>
      </c>
      <c r="D12" s="16">
        <v>-16660711.989999998</v>
      </c>
      <c r="E12" s="16"/>
      <c r="F12" s="16">
        <v>5191043.0500000007</v>
      </c>
    </row>
    <row r="13" spans="1:11" x14ac:dyDescent="0.25">
      <c r="A13" t="s">
        <v>162</v>
      </c>
      <c r="B13" t="s">
        <v>490</v>
      </c>
      <c r="C13" s="16">
        <v>4173620.16</v>
      </c>
      <c r="D13" s="16">
        <v>-729893.73</v>
      </c>
      <c r="E13" s="16">
        <v>-5695</v>
      </c>
      <c r="F13" s="16">
        <v>3438031.43</v>
      </c>
    </row>
    <row r="14" spans="1:11" x14ac:dyDescent="0.25">
      <c r="A14" t="s">
        <v>241</v>
      </c>
      <c r="B14" t="s">
        <v>491</v>
      </c>
      <c r="C14" s="16">
        <v>704500</v>
      </c>
      <c r="D14" s="16">
        <v>-455427.50999999995</v>
      </c>
      <c r="E14" s="16"/>
      <c r="F14" s="16">
        <v>249072.49000000005</v>
      </c>
    </row>
    <row r="15" spans="1:11" x14ac:dyDescent="0.25">
      <c r="A15" t="s">
        <v>286</v>
      </c>
      <c r="B15" t="s">
        <v>492</v>
      </c>
      <c r="C15" s="16">
        <v>1500000</v>
      </c>
      <c r="D15" s="16">
        <v>-821428.1</v>
      </c>
      <c r="E15" s="16"/>
      <c r="F15" s="16">
        <v>678571.9</v>
      </c>
    </row>
    <row r="16" spans="1:11" x14ac:dyDescent="0.25">
      <c r="A16" t="s">
        <v>302</v>
      </c>
      <c r="B16" t="s">
        <v>493</v>
      </c>
      <c r="C16" s="16">
        <v>91440</v>
      </c>
      <c r="D16" s="16">
        <v>-70104</v>
      </c>
      <c r="E16" s="16"/>
      <c r="F16" s="16">
        <v>21336</v>
      </c>
    </row>
    <row r="17" spans="1:6" x14ac:dyDescent="0.25">
      <c r="A17" t="s">
        <v>313</v>
      </c>
      <c r="B17" t="s">
        <v>495</v>
      </c>
      <c r="C17" s="16">
        <v>91440</v>
      </c>
      <c r="D17" s="16"/>
      <c r="E17" s="16"/>
      <c r="F17" s="16">
        <v>91440</v>
      </c>
    </row>
    <row r="18" spans="1:6" x14ac:dyDescent="0.25">
      <c r="A18" t="s">
        <v>318</v>
      </c>
      <c r="B18" t="s">
        <v>496</v>
      </c>
      <c r="C18" s="16">
        <v>91440</v>
      </c>
      <c r="D18" s="16">
        <v>-5388</v>
      </c>
      <c r="E18" s="16"/>
      <c r="F18" s="16">
        <v>86052</v>
      </c>
    </row>
    <row r="19" spans="1:6" x14ac:dyDescent="0.25">
      <c r="A19" t="s">
        <v>326</v>
      </c>
      <c r="B19" s="24" t="s">
        <v>500</v>
      </c>
      <c r="C19" s="16">
        <v>124840</v>
      </c>
      <c r="D19" s="16">
        <v>-52704</v>
      </c>
      <c r="E19" s="16"/>
      <c r="F19" s="16">
        <v>72136</v>
      </c>
    </row>
    <row r="20" spans="1:6" x14ac:dyDescent="0.25">
      <c r="A20" t="s">
        <v>349</v>
      </c>
      <c r="B20" t="s">
        <v>498</v>
      </c>
      <c r="C20" s="16">
        <v>2209500</v>
      </c>
      <c r="D20" s="16">
        <v>-772649.66999999993</v>
      </c>
      <c r="E20" s="16"/>
      <c r="F20" s="16">
        <v>1436850.33</v>
      </c>
    </row>
    <row r="21" spans="1:6" ht="13" x14ac:dyDescent="0.25">
      <c r="A21" s="18" t="s">
        <v>468</v>
      </c>
      <c r="B21" s="18"/>
      <c r="C21" s="19">
        <v>30838535.199999999</v>
      </c>
      <c r="D21" s="19">
        <v>-19568307</v>
      </c>
      <c r="E21" s="19">
        <v>-5695</v>
      </c>
      <c r="F21" s="19">
        <v>11264533.199999999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94A80-9D8C-44E3-8219-A5EA4DB3EB3F}">
  <dimension ref="A3:AD32"/>
  <sheetViews>
    <sheetView topLeftCell="A13" workbookViewId="0">
      <selection activeCell="H21" sqref="H21"/>
    </sheetView>
  </sheetViews>
  <sheetFormatPr defaultRowHeight="13" x14ac:dyDescent="0.25"/>
  <cols>
    <col min="1" max="2" width="13.36328125" customWidth="1"/>
    <col min="3" max="4" width="13.81640625" bestFit="1" customWidth="1"/>
    <col min="5" max="5" width="12.7265625" style="18" bestFit="1" customWidth="1"/>
    <col min="6" max="6" width="14.26953125" customWidth="1"/>
    <col min="7" max="7" width="9.1796875" bestFit="1" customWidth="1"/>
    <col min="8" max="8" width="11.1796875" bestFit="1" customWidth="1"/>
    <col min="9" max="9" width="12.7265625" style="18" bestFit="1" customWidth="1"/>
    <col min="10" max="10" width="12.7265625" bestFit="1" customWidth="1"/>
    <col min="11" max="11" width="11.1796875" bestFit="1" customWidth="1"/>
    <col min="12" max="12" width="12" style="18" bestFit="1" customWidth="1"/>
    <col min="13" max="13" width="12.7265625" bestFit="1" customWidth="1"/>
    <col min="14" max="14" width="11.1796875" bestFit="1" customWidth="1"/>
    <col min="15" max="15" width="12" style="18" bestFit="1" customWidth="1"/>
    <col min="16" max="17" width="10.1796875" bestFit="1" customWidth="1"/>
    <col min="18" max="18" width="12" style="18" bestFit="1" customWidth="1"/>
    <col min="19" max="19" width="10.1796875" bestFit="1" customWidth="1"/>
    <col min="20" max="20" width="12" style="18" bestFit="1" customWidth="1"/>
    <col min="21" max="21" width="10.1796875" bestFit="1" customWidth="1"/>
    <col min="22" max="22" width="9.1796875" bestFit="1" customWidth="1"/>
    <col min="23" max="23" width="12" style="18" bestFit="1" customWidth="1"/>
    <col min="24" max="24" width="11.1796875" bestFit="1" customWidth="1"/>
    <col min="25" max="25" width="10.1796875" bestFit="1" customWidth="1"/>
    <col min="26" max="26" width="12" style="18" bestFit="1" customWidth="1"/>
    <col min="27" max="27" width="12.7265625" bestFit="1" customWidth="1"/>
    <col min="28" max="28" width="11.1796875" bestFit="1" customWidth="1"/>
    <col min="29" max="29" width="12.7265625" style="18" bestFit="1" customWidth="1"/>
    <col min="30" max="30" width="13.81640625" style="18" bestFit="1" customWidth="1"/>
  </cols>
  <sheetData>
    <row r="3" spans="1:30" x14ac:dyDescent="0.25">
      <c r="A3" t="s">
        <v>470</v>
      </c>
    </row>
    <row r="4" spans="1:30" s="17" customFormat="1" x14ac:dyDescent="0.25">
      <c r="C4" s="17" t="s">
        <v>13</v>
      </c>
      <c r="E4" s="17" t="s">
        <v>471</v>
      </c>
      <c r="F4" s="17" t="s">
        <v>162</v>
      </c>
      <c r="I4" s="17" t="s">
        <v>472</v>
      </c>
      <c r="J4" s="17" t="s">
        <v>241</v>
      </c>
      <c r="L4" s="17" t="s">
        <v>473</v>
      </c>
      <c r="M4" s="17" t="s">
        <v>286</v>
      </c>
      <c r="O4" s="17" t="s">
        <v>474</v>
      </c>
      <c r="P4" s="17" t="s">
        <v>302</v>
      </c>
      <c r="R4" s="17" t="s">
        <v>475</v>
      </c>
      <c r="S4" s="17" t="s">
        <v>313</v>
      </c>
      <c r="T4" s="17" t="s">
        <v>476</v>
      </c>
      <c r="U4" s="17" t="s">
        <v>318</v>
      </c>
      <c r="W4" s="17" t="s">
        <v>477</v>
      </c>
      <c r="X4" s="17" t="s">
        <v>326</v>
      </c>
      <c r="Z4" s="17" t="s">
        <v>478</v>
      </c>
      <c r="AA4" s="17" t="s">
        <v>349</v>
      </c>
      <c r="AC4" s="17" t="s">
        <v>479</v>
      </c>
      <c r="AD4" s="17" t="s">
        <v>468</v>
      </c>
    </row>
    <row r="5" spans="1:30" s="17" customFormat="1" x14ac:dyDescent="0.25">
      <c r="A5" s="17" t="s">
        <v>467</v>
      </c>
      <c r="C5" s="17" t="s">
        <v>464</v>
      </c>
      <c r="D5" s="17" t="s">
        <v>466</v>
      </c>
      <c r="F5" s="17" t="s">
        <v>464</v>
      </c>
      <c r="G5" s="17" t="s">
        <v>465</v>
      </c>
      <c r="H5" s="17" t="s">
        <v>466</v>
      </c>
      <c r="J5" s="17" t="s">
        <v>464</v>
      </c>
      <c r="K5" s="17" t="s">
        <v>466</v>
      </c>
      <c r="M5" s="17" t="s">
        <v>464</v>
      </c>
      <c r="N5" s="17" t="s">
        <v>466</v>
      </c>
      <c r="P5" s="17" t="s">
        <v>464</v>
      </c>
      <c r="Q5" s="17" t="s">
        <v>466</v>
      </c>
      <c r="S5" s="17" t="s">
        <v>464</v>
      </c>
      <c r="U5" s="17" t="s">
        <v>464</v>
      </c>
      <c r="V5" s="17" t="s">
        <v>466</v>
      </c>
      <c r="X5" s="17" t="s">
        <v>464</v>
      </c>
      <c r="Y5" s="17" t="s">
        <v>466</v>
      </c>
      <c r="AA5" s="17" t="s">
        <v>464</v>
      </c>
      <c r="AB5" s="17" t="s">
        <v>466</v>
      </c>
    </row>
    <row r="6" spans="1:30" x14ac:dyDescent="0.25">
      <c r="A6">
        <v>10120002</v>
      </c>
      <c r="B6" t="s">
        <v>480</v>
      </c>
      <c r="C6" s="16"/>
      <c r="D6" s="16"/>
      <c r="E6" s="19"/>
      <c r="F6" s="16">
        <v>1639627.33</v>
      </c>
      <c r="G6" s="16"/>
      <c r="H6" s="16"/>
      <c r="I6" s="19">
        <v>1639627.33</v>
      </c>
      <c r="J6" s="16"/>
      <c r="K6" s="16"/>
      <c r="L6" s="19"/>
      <c r="M6" s="16"/>
      <c r="N6" s="16"/>
      <c r="O6" s="19"/>
      <c r="P6" s="16"/>
      <c r="Q6" s="16"/>
      <c r="R6" s="19"/>
      <c r="S6" s="16"/>
      <c r="T6" s="19"/>
      <c r="U6" s="16"/>
      <c r="V6" s="16"/>
      <c r="W6" s="19"/>
      <c r="X6" s="16"/>
      <c r="Y6" s="16"/>
      <c r="Z6" s="19"/>
      <c r="AA6" s="16"/>
      <c r="AB6" s="16"/>
      <c r="AC6" s="19"/>
      <c r="AD6" s="19">
        <v>1639627.33</v>
      </c>
    </row>
    <row r="7" spans="1:30" x14ac:dyDescent="0.25">
      <c r="A7" s="20">
        <v>10130002</v>
      </c>
      <c r="B7" t="e">
        <v>#N/A</v>
      </c>
      <c r="C7" s="16"/>
      <c r="D7" s="16"/>
      <c r="E7" s="19"/>
      <c r="F7" s="16"/>
      <c r="G7" s="16"/>
      <c r="H7" s="16"/>
      <c r="I7" s="19"/>
      <c r="J7" s="23">
        <f>396500-396500</f>
        <v>0</v>
      </c>
      <c r="K7" s="23">
        <f>-245200+245200</f>
        <v>0</v>
      </c>
      <c r="L7" s="25">
        <f>SUM(J7:K7)</f>
        <v>0</v>
      </c>
      <c r="M7" s="16"/>
      <c r="N7" s="16"/>
      <c r="O7" s="19"/>
      <c r="P7" s="16"/>
      <c r="Q7" s="16"/>
      <c r="R7" s="19"/>
      <c r="S7" s="16"/>
      <c r="T7" s="19"/>
      <c r="U7" s="16"/>
      <c r="V7" s="16"/>
      <c r="W7" s="19"/>
      <c r="X7" s="16"/>
      <c r="Y7" s="16"/>
      <c r="Z7" s="19"/>
      <c r="AA7" s="16"/>
      <c r="AB7" s="16"/>
      <c r="AC7" s="19"/>
      <c r="AD7" s="25">
        <f>151300-151300</f>
        <v>0</v>
      </c>
    </row>
    <row r="8" spans="1:30" x14ac:dyDescent="0.25">
      <c r="A8">
        <v>10130007</v>
      </c>
      <c r="B8" t="s">
        <v>481</v>
      </c>
      <c r="C8" s="16">
        <v>546345</v>
      </c>
      <c r="D8" s="16">
        <v>-546345</v>
      </c>
      <c r="E8" s="19">
        <v>0</v>
      </c>
      <c r="F8" s="16"/>
      <c r="G8" s="16"/>
      <c r="H8" s="16"/>
      <c r="I8" s="19"/>
      <c r="J8" s="16">
        <v>396500</v>
      </c>
      <c r="K8" s="16">
        <f>-151300-245200</f>
        <v>-396500</v>
      </c>
      <c r="L8" s="25">
        <f>SUM(J8:K8)</f>
        <v>0</v>
      </c>
      <c r="M8" s="16"/>
      <c r="N8" s="16"/>
      <c r="O8" s="19"/>
      <c r="P8" s="16"/>
      <c r="Q8" s="16"/>
      <c r="R8" s="19"/>
      <c r="S8" s="16"/>
      <c r="T8" s="19"/>
      <c r="U8" s="16"/>
      <c r="V8" s="16"/>
      <c r="W8" s="19"/>
      <c r="X8" s="16"/>
      <c r="Y8" s="16"/>
      <c r="Z8" s="19"/>
      <c r="AA8" s="16"/>
      <c r="AB8" s="16"/>
      <c r="AC8" s="19"/>
      <c r="AD8" s="25">
        <f>-151300+151300</f>
        <v>0</v>
      </c>
    </row>
    <row r="9" spans="1:30" x14ac:dyDescent="0.25">
      <c r="A9">
        <v>10140007</v>
      </c>
      <c r="B9" t="s">
        <v>482</v>
      </c>
      <c r="C9" s="16"/>
      <c r="D9" s="16"/>
      <c r="E9" s="19"/>
      <c r="F9" s="16">
        <v>200144.83000000002</v>
      </c>
      <c r="G9" s="16">
        <v>-5695</v>
      </c>
      <c r="H9" s="16">
        <v>-77644.83</v>
      </c>
      <c r="I9" s="19">
        <v>116805.00000000001</v>
      </c>
      <c r="J9" s="16">
        <v>100000</v>
      </c>
      <c r="K9" s="16">
        <v>-8432.11</v>
      </c>
      <c r="L9" s="19">
        <v>91567.89</v>
      </c>
      <c r="M9" s="16"/>
      <c r="N9" s="16"/>
      <c r="O9" s="19"/>
      <c r="P9" s="16"/>
      <c r="Q9" s="16"/>
      <c r="R9" s="19"/>
      <c r="S9" s="16"/>
      <c r="T9" s="19"/>
      <c r="U9" s="16"/>
      <c r="V9" s="16"/>
      <c r="W9" s="19"/>
      <c r="X9" s="16"/>
      <c r="Y9" s="16"/>
      <c r="Z9" s="19"/>
      <c r="AA9" s="16">
        <v>400000</v>
      </c>
      <c r="AB9" s="16">
        <v>-346022.02</v>
      </c>
      <c r="AC9" s="19">
        <v>53977.979999999981</v>
      </c>
      <c r="AD9" s="19">
        <v>262350.87</v>
      </c>
    </row>
    <row r="10" spans="1:30" x14ac:dyDescent="0.25">
      <c r="A10">
        <v>10140008</v>
      </c>
      <c r="B10" t="s">
        <v>483</v>
      </c>
      <c r="C10" s="16"/>
      <c r="D10" s="16"/>
      <c r="E10" s="19"/>
      <c r="F10" s="16">
        <v>16848</v>
      </c>
      <c r="G10" s="16"/>
      <c r="H10" s="16">
        <v>-16848</v>
      </c>
      <c r="I10" s="19">
        <v>0</v>
      </c>
      <c r="J10" s="16">
        <v>108000</v>
      </c>
      <c r="K10" s="16"/>
      <c r="L10" s="19">
        <v>108000</v>
      </c>
      <c r="M10" s="16"/>
      <c r="N10" s="16"/>
      <c r="O10" s="19"/>
      <c r="P10" s="16"/>
      <c r="Q10" s="16"/>
      <c r="R10" s="19"/>
      <c r="S10" s="16"/>
      <c r="T10" s="19"/>
      <c r="U10" s="16"/>
      <c r="V10" s="16"/>
      <c r="W10" s="19"/>
      <c r="X10" s="16"/>
      <c r="Y10" s="16"/>
      <c r="Z10" s="19"/>
      <c r="AA10" s="16"/>
      <c r="AB10" s="16"/>
      <c r="AC10" s="19"/>
      <c r="AD10" s="19">
        <v>108000</v>
      </c>
    </row>
    <row r="11" spans="1:30" x14ac:dyDescent="0.25">
      <c r="A11">
        <v>10150008</v>
      </c>
      <c r="B11" t="s">
        <v>484</v>
      </c>
      <c r="C11" s="16">
        <v>370000</v>
      </c>
      <c r="D11" s="16"/>
      <c r="E11" s="19">
        <v>370000</v>
      </c>
      <c r="F11" s="16"/>
      <c r="G11" s="16"/>
      <c r="H11" s="16"/>
      <c r="I11" s="19"/>
      <c r="J11" s="16"/>
      <c r="K11" s="16"/>
      <c r="L11" s="19"/>
      <c r="M11" s="16"/>
      <c r="N11" s="16"/>
      <c r="O11" s="19"/>
      <c r="P11" s="16"/>
      <c r="Q11" s="16"/>
      <c r="R11" s="19"/>
      <c r="S11" s="16"/>
      <c r="T11" s="19"/>
      <c r="U11" s="16"/>
      <c r="V11" s="16"/>
      <c r="W11" s="19"/>
      <c r="X11" s="16"/>
      <c r="Y11" s="16"/>
      <c r="Z11" s="19"/>
      <c r="AA11" s="16"/>
      <c r="AB11" s="16"/>
      <c r="AC11" s="19"/>
      <c r="AD11" s="19">
        <v>370000</v>
      </c>
    </row>
    <row r="12" spans="1:30" x14ac:dyDescent="0.25">
      <c r="A12">
        <v>10150009</v>
      </c>
      <c r="B12" t="s">
        <v>485</v>
      </c>
      <c r="C12" s="16">
        <v>16036410.039999999</v>
      </c>
      <c r="D12" s="16">
        <v>-15620825.640000001</v>
      </c>
      <c r="E12" s="19">
        <v>415584.39999999851</v>
      </c>
      <c r="F12" s="16">
        <v>1850000</v>
      </c>
      <c r="G12" s="16"/>
      <c r="H12" s="16">
        <v>-507155.19999999995</v>
      </c>
      <c r="I12" s="19">
        <v>1342844.8</v>
      </c>
      <c r="J12" s="16">
        <v>100000</v>
      </c>
      <c r="K12" s="16">
        <v>-50495.399999999994</v>
      </c>
      <c r="L12" s="19">
        <v>49504.600000000006</v>
      </c>
      <c r="M12" s="16">
        <v>1500000</v>
      </c>
      <c r="N12" s="16">
        <v>-821428.1</v>
      </c>
      <c r="O12" s="19">
        <v>678571.9</v>
      </c>
      <c r="P12" s="16">
        <v>91440</v>
      </c>
      <c r="Q12" s="16">
        <v>-70104</v>
      </c>
      <c r="R12" s="19">
        <v>21336</v>
      </c>
      <c r="S12" s="16">
        <v>91440</v>
      </c>
      <c r="T12" s="19">
        <v>91440</v>
      </c>
      <c r="U12" s="16">
        <v>91440</v>
      </c>
      <c r="V12" s="16">
        <v>-5388</v>
      </c>
      <c r="W12" s="19">
        <v>86052</v>
      </c>
      <c r="X12" s="16">
        <v>76200</v>
      </c>
      <c r="Y12" s="16">
        <v>-4064</v>
      </c>
      <c r="Z12" s="19">
        <v>72136</v>
      </c>
      <c r="AA12" s="16">
        <v>465000</v>
      </c>
      <c r="AB12" s="16">
        <v>-175200</v>
      </c>
      <c r="AC12" s="19">
        <v>289800</v>
      </c>
      <c r="AD12" s="19">
        <v>3047269.6999999988</v>
      </c>
    </row>
    <row r="13" spans="1:30" x14ac:dyDescent="0.25">
      <c r="A13">
        <v>10170003</v>
      </c>
      <c r="B13" t="s">
        <v>486</v>
      </c>
      <c r="C13" s="16">
        <v>2858000</v>
      </c>
      <c r="D13" s="16">
        <v>-308508.78999999998</v>
      </c>
      <c r="E13" s="19">
        <v>2549491.21</v>
      </c>
      <c r="F13" s="16">
        <v>467000</v>
      </c>
      <c r="G13" s="16"/>
      <c r="H13" s="16">
        <v>-128245.7</v>
      </c>
      <c r="I13" s="19">
        <v>338754.3</v>
      </c>
      <c r="J13" s="16"/>
      <c r="K13" s="16"/>
      <c r="L13" s="19"/>
      <c r="M13" s="16"/>
      <c r="N13" s="16"/>
      <c r="O13" s="19"/>
      <c r="P13" s="16"/>
      <c r="Q13" s="16"/>
      <c r="R13" s="19"/>
      <c r="S13" s="16"/>
      <c r="T13" s="19"/>
      <c r="U13" s="16"/>
      <c r="V13" s="16"/>
      <c r="W13" s="19"/>
      <c r="X13" s="16">
        <v>48640</v>
      </c>
      <c r="Y13" s="16">
        <v>-48640</v>
      </c>
      <c r="Z13" s="19">
        <v>0</v>
      </c>
      <c r="AA13" s="16"/>
      <c r="AB13" s="16"/>
      <c r="AC13" s="19"/>
      <c r="AD13" s="19">
        <v>2888245.51</v>
      </c>
    </row>
    <row r="14" spans="1:30" x14ac:dyDescent="0.25">
      <c r="A14">
        <v>10170004</v>
      </c>
      <c r="B14" t="s">
        <v>487</v>
      </c>
      <c r="C14" s="16">
        <v>2041000</v>
      </c>
      <c r="D14" s="16">
        <v>-185032.56</v>
      </c>
      <c r="E14" s="19">
        <v>1855967.44</v>
      </c>
      <c r="F14" s="16"/>
      <c r="G14" s="16"/>
      <c r="H14" s="16"/>
      <c r="I14" s="19"/>
      <c r="J14" s="16"/>
      <c r="K14" s="16"/>
      <c r="L14" s="19"/>
      <c r="M14" s="16"/>
      <c r="N14" s="16"/>
      <c r="O14" s="19"/>
      <c r="P14" s="16"/>
      <c r="Q14" s="16"/>
      <c r="R14" s="19"/>
      <c r="S14" s="16"/>
      <c r="T14" s="19"/>
      <c r="U14" s="16"/>
      <c r="V14" s="16"/>
      <c r="W14" s="19"/>
      <c r="X14" s="16"/>
      <c r="Y14" s="16"/>
      <c r="Z14" s="19"/>
      <c r="AA14" s="16">
        <v>1344500</v>
      </c>
      <c r="AB14" s="16">
        <v>-251427.65000000002</v>
      </c>
      <c r="AC14" s="19">
        <v>1093072.3500000001</v>
      </c>
      <c r="AD14" s="19">
        <v>2949039.79</v>
      </c>
    </row>
    <row r="15" spans="1:30" x14ac:dyDescent="0.25">
      <c r="A15" t="s">
        <v>468</v>
      </c>
      <c r="C15" s="16">
        <f>SUM(C6:C14)</f>
        <v>21851755.039999999</v>
      </c>
      <c r="D15" s="16">
        <f t="shared" ref="D15:AD15" si="0">SUM(D6:D14)</f>
        <v>-16660711.99</v>
      </c>
      <c r="E15" s="19">
        <f t="shared" si="0"/>
        <v>5191043.0499999989</v>
      </c>
      <c r="F15" s="16">
        <f t="shared" si="0"/>
        <v>4173620.16</v>
      </c>
      <c r="G15" s="16">
        <f t="shared" si="0"/>
        <v>-5695</v>
      </c>
      <c r="H15" s="16">
        <f t="shared" si="0"/>
        <v>-729893.72999999986</v>
      </c>
      <c r="I15" s="19">
        <f t="shared" si="0"/>
        <v>3438031.4299999997</v>
      </c>
      <c r="J15" s="16">
        <f t="shared" si="0"/>
        <v>704500</v>
      </c>
      <c r="K15" s="16">
        <f t="shared" si="0"/>
        <v>-455427.51</v>
      </c>
      <c r="L15" s="19">
        <f t="shared" si="0"/>
        <v>249072.49000000002</v>
      </c>
      <c r="M15" s="16">
        <f t="shared" si="0"/>
        <v>1500000</v>
      </c>
      <c r="N15" s="16">
        <f t="shared" si="0"/>
        <v>-821428.1</v>
      </c>
      <c r="O15" s="19">
        <f t="shared" si="0"/>
        <v>678571.9</v>
      </c>
      <c r="P15" s="16">
        <f t="shared" si="0"/>
        <v>91440</v>
      </c>
      <c r="Q15" s="16">
        <f t="shared" si="0"/>
        <v>-70104</v>
      </c>
      <c r="R15" s="19">
        <f t="shared" si="0"/>
        <v>21336</v>
      </c>
      <c r="S15" s="16">
        <f t="shared" si="0"/>
        <v>91440</v>
      </c>
      <c r="T15" s="19">
        <f t="shared" si="0"/>
        <v>91440</v>
      </c>
      <c r="U15" s="16">
        <f t="shared" si="0"/>
        <v>91440</v>
      </c>
      <c r="V15" s="16">
        <f t="shared" si="0"/>
        <v>-5388</v>
      </c>
      <c r="W15" s="19">
        <f t="shared" si="0"/>
        <v>86052</v>
      </c>
      <c r="X15" s="16">
        <f t="shared" si="0"/>
        <v>124840</v>
      </c>
      <c r="Y15" s="16">
        <f t="shared" si="0"/>
        <v>-52704</v>
      </c>
      <c r="Z15" s="19">
        <f t="shared" si="0"/>
        <v>72136</v>
      </c>
      <c r="AA15" s="16">
        <f t="shared" si="0"/>
        <v>2209500</v>
      </c>
      <c r="AB15" s="16">
        <f t="shared" si="0"/>
        <v>-772649.67</v>
      </c>
      <c r="AC15" s="19">
        <f t="shared" si="0"/>
        <v>1436850.33</v>
      </c>
      <c r="AD15" s="19">
        <f t="shared" si="0"/>
        <v>11264533.199999999</v>
      </c>
    </row>
    <row r="20" spans="1:7" x14ac:dyDescent="0.25">
      <c r="A20" t="s">
        <v>470</v>
      </c>
      <c r="C20" t="s">
        <v>469</v>
      </c>
      <c r="E20"/>
    </row>
    <row r="21" spans="1:7" x14ac:dyDescent="0.25">
      <c r="A21" s="18" t="s">
        <v>467</v>
      </c>
      <c r="B21" s="18" t="s">
        <v>488</v>
      </c>
      <c r="C21" s="18" t="s">
        <v>464</v>
      </c>
      <c r="D21" s="18" t="s">
        <v>466</v>
      </c>
      <c r="E21" s="18" t="s">
        <v>465</v>
      </c>
      <c r="F21" s="18" t="s">
        <v>468</v>
      </c>
      <c r="G21" s="18"/>
    </row>
    <row r="22" spans="1:7" x14ac:dyDescent="0.25">
      <c r="A22">
        <v>10120002</v>
      </c>
      <c r="B22" t="s">
        <v>480</v>
      </c>
      <c r="C22" s="16">
        <v>1639627.33</v>
      </c>
      <c r="D22" s="16"/>
      <c r="E22" s="16"/>
      <c r="F22" s="16">
        <v>1639627.33</v>
      </c>
    </row>
    <row r="23" spans="1:7" x14ac:dyDescent="0.25">
      <c r="A23">
        <v>10130007</v>
      </c>
      <c r="B23" t="s">
        <v>481</v>
      </c>
      <c r="C23" s="16">
        <v>942845</v>
      </c>
      <c r="D23" s="16">
        <v>-942845</v>
      </c>
      <c r="E23" s="16"/>
      <c r="F23" s="16">
        <v>0</v>
      </c>
    </row>
    <row r="24" spans="1:7" x14ac:dyDescent="0.25">
      <c r="A24">
        <v>10140007</v>
      </c>
      <c r="B24" t="s">
        <v>482</v>
      </c>
      <c r="C24" s="16">
        <v>700144.83000000007</v>
      </c>
      <c r="D24" s="16">
        <v>-432098.95999999996</v>
      </c>
      <c r="E24" s="16">
        <v>-5695</v>
      </c>
      <c r="F24" s="16">
        <v>262350.87000000011</v>
      </c>
    </row>
    <row r="25" spans="1:7" x14ac:dyDescent="0.25">
      <c r="A25">
        <v>10140008</v>
      </c>
      <c r="B25" t="s">
        <v>483</v>
      </c>
      <c r="C25" s="16">
        <v>124848</v>
      </c>
      <c r="D25" s="16">
        <v>-16848</v>
      </c>
      <c r="E25" s="16"/>
      <c r="F25" s="16">
        <v>108000</v>
      </c>
    </row>
    <row r="26" spans="1:7" x14ac:dyDescent="0.25">
      <c r="A26">
        <v>10150008</v>
      </c>
      <c r="B26" t="s">
        <v>484</v>
      </c>
      <c r="C26" s="16">
        <v>370000</v>
      </c>
      <c r="D26" s="16"/>
      <c r="E26" s="16"/>
      <c r="F26" s="16">
        <v>370000</v>
      </c>
    </row>
    <row r="27" spans="1:7" x14ac:dyDescent="0.25">
      <c r="A27">
        <v>10150009</v>
      </c>
      <c r="B27" t="s">
        <v>485</v>
      </c>
      <c r="C27" s="16">
        <v>20301930.039999999</v>
      </c>
      <c r="D27" s="16">
        <v>-17254660.340000004</v>
      </c>
      <c r="E27" s="16"/>
      <c r="F27" s="16">
        <v>3047269.6999999955</v>
      </c>
    </row>
    <row r="28" spans="1:7" x14ac:dyDescent="0.25">
      <c r="A28">
        <v>10170003</v>
      </c>
      <c r="B28" t="s">
        <v>486</v>
      </c>
      <c r="C28" s="16">
        <v>3373640</v>
      </c>
      <c r="D28" s="16">
        <v>-485394.49</v>
      </c>
      <c r="E28" s="16"/>
      <c r="F28" s="16">
        <v>2888245.51</v>
      </c>
    </row>
    <row r="29" spans="1:7" x14ac:dyDescent="0.25">
      <c r="A29">
        <v>10170004</v>
      </c>
      <c r="B29" t="s">
        <v>487</v>
      </c>
      <c r="C29" s="16">
        <v>3385500</v>
      </c>
      <c r="D29" s="16">
        <v>-436460.21</v>
      </c>
      <c r="E29" s="16"/>
      <c r="F29" s="16">
        <v>2949039.79</v>
      </c>
    </row>
    <row r="30" spans="1:7" x14ac:dyDescent="0.25">
      <c r="A30" t="s">
        <v>468</v>
      </c>
      <c r="C30" s="19">
        <f>SUM(C22:C29)</f>
        <v>30838535.199999999</v>
      </c>
      <c r="D30" s="19">
        <f>SUM(D22:D29)</f>
        <v>-19568307.000000004</v>
      </c>
      <c r="E30" s="19">
        <f>SUM(E22:E29)</f>
        <v>-5695</v>
      </c>
      <c r="F30" s="19">
        <f>SUM(F22:F29)</f>
        <v>11264533.199999996</v>
      </c>
    </row>
    <row r="31" spans="1:7" x14ac:dyDescent="0.25">
      <c r="E31"/>
    </row>
    <row r="32" spans="1:7" x14ac:dyDescent="0.25">
      <c r="E32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5962-F6D2-46FD-BFC8-B16168739F3B}">
  <dimension ref="A1:M94"/>
  <sheetViews>
    <sheetView tabSelected="1" workbookViewId="0">
      <selection activeCell="C4" sqref="C4"/>
    </sheetView>
  </sheetViews>
  <sheetFormatPr defaultRowHeight="12.5" x14ac:dyDescent="0.25"/>
  <cols>
    <col min="1" max="1" width="8.1796875" customWidth="1"/>
    <col min="2" max="2" width="30.7265625" bestFit="1" customWidth="1"/>
    <col min="3" max="3" width="30.7265625" customWidth="1"/>
    <col min="4" max="5" width="13.26953125" customWidth="1"/>
    <col min="6" max="6" width="16.453125" customWidth="1"/>
    <col min="7" max="7" width="13" bestFit="1" customWidth="1"/>
    <col min="11" max="11" width="30.7265625" bestFit="1" customWidth="1"/>
  </cols>
  <sheetData>
    <row r="1" spans="1:13" ht="25" x14ac:dyDescent="0.25">
      <c r="A1" s="15" t="s">
        <v>454</v>
      </c>
      <c r="B1" s="26" t="s">
        <v>501</v>
      </c>
      <c r="C1" s="26" t="s">
        <v>520</v>
      </c>
      <c r="D1" s="26" t="s">
        <v>508</v>
      </c>
      <c r="E1" s="26" t="s">
        <v>488</v>
      </c>
      <c r="F1" s="14" t="s">
        <v>463</v>
      </c>
      <c r="G1" s="14" t="s">
        <v>445</v>
      </c>
    </row>
    <row r="2" spans="1:13" x14ac:dyDescent="0.25">
      <c r="A2" t="s">
        <v>13</v>
      </c>
      <c r="B2" t="str">
        <f t="shared" ref="B2:C33" si="0">VLOOKUP(A2,J:K,2,0)</f>
        <v xml:space="preserve"> CIDB Holdings Sdn Bhd</v>
      </c>
      <c r="C2" t="str">
        <f t="shared" si="0"/>
        <v xml:space="preserve"> CIDBH</v>
      </c>
      <c r="D2" s="29">
        <v>10150009</v>
      </c>
      <c r="E2" s="29" t="s">
        <v>485</v>
      </c>
      <c r="F2" s="28" t="s">
        <v>505</v>
      </c>
      <c r="G2" s="3">
        <v>15255000</v>
      </c>
    </row>
    <row r="3" spans="1:13" x14ac:dyDescent="0.25">
      <c r="A3" t="s">
        <v>13</v>
      </c>
      <c r="B3" t="str">
        <f t="shared" si="0"/>
        <v xml:space="preserve"> CIDB Holdings Sdn Bhd</v>
      </c>
      <c r="C3" t="str">
        <f t="shared" si="0"/>
        <v xml:space="preserve"> CIDBH</v>
      </c>
      <c r="D3" s="29">
        <v>10170003</v>
      </c>
      <c r="E3" s="29" t="s">
        <v>486</v>
      </c>
      <c r="F3" s="28" t="s">
        <v>505</v>
      </c>
      <c r="G3" s="3">
        <v>720000</v>
      </c>
    </row>
    <row r="4" spans="1:13" x14ac:dyDescent="0.25">
      <c r="A4" t="s">
        <v>13</v>
      </c>
      <c r="B4" t="str">
        <f t="shared" si="0"/>
        <v xml:space="preserve"> CIDB Holdings Sdn Bhd</v>
      </c>
      <c r="C4" t="str">
        <f t="shared" si="0"/>
        <v xml:space="preserve"> CIDBH</v>
      </c>
      <c r="D4" s="29">
        <v>10170003</v>
      </c>
      <c r="E4" s="29" t="s">
        <v>486</v>
      </c>
      <c r="F4" s="28" t="s">
        <v>505</v>
      </c>
      <c r="G4" s="3">
        <v>1900000</v>
      </c>
    </row>
    <row r="5" spans="1:13" x14ac:dyDescent="0.25">
      <c r="A5" t="s">
        <v>13</v>
      </c>
      <c r="B5" t="str">
        <f t="shared" si="0"/>
        <v xml:space="preserve"> CIDB Holdings Sdn Bhd</v>
      </c>
      <c r="C5" t="str">
        <f t="shared" si="0"/>
        <v xml:space="preserve"> CIDBH</v>
      </c>
      <c r="D5" s="29">
        <v>10170004</v>
      </c>
      <c r="E5" s="29" t="s">
        <v>487</v>
      </c>
      <c r="F5" s="28" t="s">
        <v>505</v>
      </c>
      <c r="G5" s="3">
        <v>150000</v>
      </c>
      <c r="J5" s="27" t="s">
        <v>13</v>
      </c>
      <c r="K5" s="27" t="s">
        <v>489</v>
      </c>
      <c r="L5" s="31" t="s">
        <v>517</v>
      </c>
      <c r="M5" s="31"/>
    </row>
    <row r="6" spans="1:13" x14ac:dyDescent="0.25">
      <c r="A6" t="s">
        <v>13</v>
      </c>
      <c r="B6" t="str">
        <f t="shared" si="0"/>
        <v xml:space="preserve"> CIDB Holdings Sdn Bhd</v>
      </c>
      <c r="C6" t="str">
        <f t="shared" si="0"/>
        <v xml:space="preserve"> CIDBH</v>
      </c>
      <c r="D6" s="29">
        <v>10150008</v>
      </c>
      <c r="E6" s="29" t="s">
        <v>484</v>
      </c>
      <c r="F6" s="28" t="s">
        <v>505</v>
      </c>
      <c r="G6" s="3">
        <v>370000</v>
      </c>
      <c r="J6" s="27" t="s">
        <v>162</v>
      </c>
      <c r="K6" s="27" t="s">
        <v>518</v>
      </c>
      <c r="L6" s="31" t="s">
        <v>516</v>
      </c>
      <c r="M6" s="31"/>
    </row>
    <row r="7" spans="1:13" x14ac:dyDescent="0.25">
      <c r="A7" t="s">
        <v>13</v>
      </c>
      <c r="B7" t="str">
        <f t="shared" si="0"/>
        <v xml:space="preserve"> CIDB Holdings Sdn Bhd</v>
      </c>
      <c r="C7" t="str">
        <f t="shared" si="0"/>
        <v xml:space="preserve"> CIDBH</v>
      </c>
      <c r="D7" s="29">
        <v>10170004</v>
      </c>
      <c r="E7" s="29" t="s">
        <v>487</v>
      </c>
      <c r="F7" s="28" t="s">
        <v>505</v>
      </c>
      <c r="G7" s="3">
        <v>700000</v>
      </c>
      <c r="J7" s="27" t="s">
        <v>241</v>
      </c>
      <c r="K7" s="27" t="s">
        <v>491</v>
      </c>
      <c r="L7" s="32" t="s">
        <v>491</v>
      </c>
      <c r="M7" s="31"/>
    </row>
    <row r="8" spans="1:13" x14ac:dyDescent="0.25">
      <c r="A8" t="s">
        <v>13</v>
      </c>
      <c r="B8" t="str">
        <f t="shared" si="0"/>
        <v xml:space="preserve"> CIDB Holdings Sdn Bhd</v>
      </c>
      <c r="C8" t="str">
        <f t="shared" si="0"/>
        <v xml:space="preserve"> CIDBH</v>
      </c>
      <c r="D8" s="29">
        <v>10170004</v>
      </c>
      <c r="E8" s="29" t="s">
        <v>487</v>
      </c>
      <c r="F8" s="28" t="s">
        <v>505</v>
      </c>
      <c r="G8" s="3">
        <v>60000</v>
      </c>
      <c r="J8" s="27" t="s">
        <v>286</v>
      </c>
      <c r="K8" s="27" t="s">
        <v>492</v>
      </c>
      <c r="L8" s="32" t="s">
        <v>492</v>
      </c>
      <c r="M8" s="31"/>
    </row>
    <row r="9" spans="1:13" x14ac:dyDescent="0.25">
      <c r="A9" t="s">
        <v>13</v>
      </c>
      <c r="B9" t="str">
        <f t="shared" si="0"/>
        <v xml:space="preserve"> CIDB Holdings Sdn Bhd</v>
      </c>
      <c r="C9" t="str">
        <f t="shared" si="0"/>
        <v xml:space="preserve"> CIDBH</v>
      </c>
      <c r="D9" s="29">
        <v>10170004</v>
      </c>
      <c r="E9" s="29" t="s">
        <v>487</v>
      </c>
      <c r="F9" s="28" t="s">
        <v>505</v>
      </c>
      <c r="G9" s="3">
        <v>80000</v>
      </c>
      <c r="J9" s="27" t="s">
        <v>302</v>
      </c>
      <c r="K9" s="27" t="s">
        <v>493</v>
      </c>
      <c r="L9" s="31" t="s">
        <v>510</v>
      </c>
      <c r="M9" s="31"/>
    </row>
    <row r="10" spans="1:13" x14ac:dyDescent="0.25">
      <c r="A10" t="s">
        <v>13</v>
      </c>
      <c r="B10" t="str">
        <f t="shared" si="0"/>
        <v xml:space="preserve"> CIDB Holdings Sdn Bhd</v>
      </c>
      <c r="C10" t="str">
        <f t="shared" si="0"/>
        <v xml:space="preserve"> CIDBH</v>
      </c>
      <c r="D10" s="29">
        <v>10170004</v>
      </c>
      <c r="E10" s="29" t="s">
        <v>487</v>
      </c>
      <c r="F10" s="28" t="s">
        <v>505</v>
      </c>
      <c r="G10" s="3">
        <v>175000</v>
      </c>
      <c r="J10" s="27" t="s">
        <v>502</v>
      </c>
      <c r="K10" s="27" t="s">
        <v>494</v>
      </c>
      <c r="L10" s="31" t="s">
        <v>509</v>
      </c>
      <c r="M10" s="31"/>
    </row>
    <row r="11" spans="1:13" x14ac:dyDescent="0.25">
      <c r="A11" t="s">
        <v>13</v>
      </c>
      <c r="B11" t="str">
        <f t="shared" si="0"/>
        <v xml:space="preserve"> CIDB Holdings Sdn Bhd</v>
      </c>
      <c r="C11" t="str">
        <f t="shared" si="0"/>
        <v xml:space="preserve"> CIDBH</v>
      </c>
      <c r="D11" s="29">
        <v>10170004</v>
      </c>
      <c r="E11" s="29" t="s">
        <v>487</v>
      </c>
      <c r="F11" s="28" t="s">
        <v>505</v>
      </c>
      <c r="G11" s="3">
        <v>116000</v>
      </c>
      <c r="J11" s="27" t="s">
        <v>313</v>
      </c>
      <c r="K11" s="27" t="s">
        <v>495</v>
      </c>
      <c r="L11" s="31" t="s">
        <v>519</v>
      </c>
      <c r="M11" s="31"/>
    </row>
    <row r="12" spans="1:13" x14ac:dyDescent="0.25">
      <c r="A12" t="s">
        <v>13</v>
      </c>
      <c r="B12" t="str">
        <f t="shared" si="0"/>
        <v xml:space="preserve"> CIDB Holdings Sdn Bhd</v>
      </c>
      <c r="C12" t="str">
        <f t="shared" si="0"/>
        <v xml:space="preserve"> CIDBH</v>
      </c>
      <c r="D12" s="29">
        <v>10170004</v>
      </c>
      <c r="E12" s="29" t="s">
        <v>487</v>
      </c>
      <c r="F12" s="28" t="s">
        <v>505</v>
      </c>
      <c r="G12" s="3">
        <v>380000</v>
      </c>
      <c r="J12" s="27" t="s">
        <v>318</v>
      </c>
      <c r="K12" s="27" t="s">
        <v>496</v>
      </c>
      <c r="L12" s="31" t="s">
        <v>513</v>
      </c>
      <c r="M12" s="31"/>
    </row>
    <row r="13" spans="1:13" x14ac:dyDescent="0.25">
      <c r="A13" t="s">
        <v>13</v>
      </c>
      <c r="B13" t="str">
        <f t="shared" si="0"/>
        <v xml:space="preserve"> CIDB Holdings Sdn Bhd</v>
      </c>
      <c r="C13" t="str">
        <f t="shared" si="0"/>
        <v xml:space="preserve"> CIDBH</v>
      </c>
      <c r="D13" s="29">
        <v>10170003</v>
      </c>
      <c r="E13" s="29" t="s">
        <v>486</v>
      </c>
      <c r="F13" s="28" t="s">
        <v>505</v>
      </c>
      <c r="G13" s="3">
        <v>238000</v>
      </c>
      <c r="J13" s="27" t="s">
        <v>503</v>
      </c>
      <c r="K13" s="27" t="s">
        <v>497</v>
      </c>
      <c r="L13" s="31" t="s">
        <v>511</v>
      </c>
      <c r="M13" s="31"/>
    </row>
    <row r="14" spans="1:13" x14ac:dyDescent="0.25">
      <c r="A14" t="s">
        <v>13</v>
      </c>
      <c r="B14" t="str">
        <f t="shared" si="0"/>
        <v xml:space="preserve"> CIDB Holdings Sdn Bhd</v>
      </c>
      <c r="C14" t="str">
        <f t="shared" si="0"/>
        <v xml:space="preserve"> CIDBH</v>
      </c>
      <c r="D14" s="29">
        <v>10170004</v>
      </c>
      <c r="E14" s="29" t="s">
        <v>487</v>
      </c>
      <c r="F14" s="28" t="s">
        <v>505</v>
      </c>
      <c r="G14" s="3">
        <v>380000</v>
      </c>
      <c r="J14" s="27" t="s">
        <v>326</v>
      </c>
      <c r="K14" s="27" t="s">
        <v>500</v>
      </c>
      <c r="L14" s="31" t="s">
        <v>512</v>
      </c>
      <c r="M14" s="31"/>
    </row>
    <row r="15" spans="1:13" x14ac:dyDescent="0.25">
      <c r="A15" t="s">
        <v>13</v>
      </c>
      <c r="B15" t="str">
        <f t="shared" si="0"/>
        <v xml:space="preserve"> CIDB Holdings Sdn Bhd</v>
      </c>
      <c r="C15" t="str">
        <f t="shared" si="0"/>
        <v xml:space="preserve"> CIDBH</v>
      </c>
      <c r="D15" s="29">
        <v>10150009</v>
      </c>
      <c r="E15" s="29" t="s">
        <v>485</v>
      </c>
      <c r="F15" s="28" t="s">
        <v>505</v>
      </c>
      <c r="G15" s="3">
        <v>781410.04</v>
      </c>
      <c r="J15" s="27" t="s">
        <v>349</v>
      </c>
      <c r="K15" s="27" t="s">
        <v>498</v>
      </c>
      <c r="L15" s="31" t="s">
        <v>514</v>
      </c>
      <c r="M15" s="31"/>
    </row>
    <row r="16" spans="1:13" x14ac:dyDescent="0.25">
      <c r="A16" t="s">
        <v>13</v>
      </c>
      <c r="B16" t="str">
        <f t="shared" si="0"/>
        <v xml:space="preserve"> CIDB Holdings Sdn Bhd</v>
      </c>
      <c r="C16" t="str">
        <f t="shared" si="0"/>
        <v xml:space="preserve"> CIDBH</v>
      </c>
      <c r="D16" s="29">
        <v>10130007</v>
      </c>
      <c r="E16" s="29" t="s">
        <v>481</v>
      </c>
      <c r="F16" s="28" t="s">
        <v>505</v>
      </c>
      <c r="G16" s="3">
        <v>546345</v>
      </c>
      <c r="J16" s="27" t="s">
        <v>504</v>
      </c>
      <c r="K16" s="27" t="s">
        <v>499</v>
      </c>
      <c r="L16" s="31" t="s">
        <v>515</v>
      </c>
    </row>
    <row r="17" spans="1:7" x14ac:dyDescent="0.25">
      <c r="A17" t="s">
        <v>13</v>
      </c>
      <c r="B17" t="str">
        <f t="shared" si="0"/>
        <v xml:space="preserve"> CIDB Holdings Sdn Bhd</v>
      </c>
      <c r="C17" t="str">
        <f t="shared" si="0"/>
        <v xml:space="preserve"> CIDBH</v>
      </c>
      <c r="D17" s="29">
        <v>10130007</v>
      </c>
      <c r="E17" s="29" t="s">
        <v>481</v>
      </c>
      <c r="F17" s="28" t="s">
        <v>506</v>
      </c>
      <c r="G17" s="3">
        <v>546345</v>
      </c>
    </row>
    <row r="18" spans="1:7" x14ac:dyDescent="0.25">
      <c r="A18" t="s">
        <v>13</v>
      </c>
      <c r="B18" t="str">
        <f t="shared" si="0"/>
        <v xml:space="preserve"> CIDB Holdings Sdn Bhd</v>
      </c>
      <c r="C18" t="str">
        <f t="shared" si="0"/>
        <v xml:space="preserve"> CIDBH</v>
      </c>
      <c r="D18" s="29">
        <v>10170003</v>
      </c>
      <c r="E18" s="29" t="s">
        <v>486</v>
      </c>
      <c r="F18" s="28" t="s">
        <v>506</v>
      </c>
      <c r="G18" s="3">
        <v>63333.34</v>
      </c>
    </row>
    <row r="19" spans="1:7" x14ac:dyDescent="0.25">
      <c r="A19" t="s">
        <v>13</v>
      </c>
      <c r="B19" t="str">
        <f t="shared" si="0"/>
        <v xml:space="preserve"> CIDB Holdings Sdn Bhd</v>
      </c>
      <c r="C19" t="str">
        <f t="shared" si="0"/>
        <v xml:space="preserve"> CIDBH</v>
      </c>
      <c r="D19" s="29">
        <v>10170003</v>
      </c>
      <c r="E19" s="29" t="s">
        <v>486</v>
      </c>
      <c r="F19" s="28" t="s">
        <v>506</v>
      </c>
      <c r="G19" s="3">
        <v>123378.34</v>
      </c>
    </row>
    <row r="20" spans="1:7" x14ac:dyDescent="0.25">
      <c r="A20" t="s">
        <v>13</v>
      </c>
      <c r="B20" t="str">
        <f t="shared" si="0"/>
        <v xml:space="preserve"> CIDB Holdings Sdn Bhd</v>
      </c>
      <c r="C20" t="str">
        <f t="shared" si="0"/>
        <v xml:space="preserve"> CIDBH</v>
      </c>
      <c r="D20" s="29">
        <v>10170003</v>
      </c>
      <c r="E20" s="29" t="s">
        <v>486</v>
      </c>
      <c r="F20" s="28" t="s">
        <v>506</v>
      </c>
      <c r="G20" s="3">
        <v>121797.11</v>
      </c>
    </row>
    <row r="21" spans="1:7" x14ac:dyDescent="0.25">
      <c r="A21" t="s">
        <v>13</v>
      </c>
      <c r="B21" t="str">
        <f t="shared" si="0"/>
        <v xml:space="preserve"> CIDB Holdings Sdn Bhd</v>
      </c>
      <c r="C21" t="str">
        <f t="shared" si="0"/>
        <v xml:space="preserve"> CIDBH</v>
      </c>
      <c r="D21" s="29">
        <v>10170004</v>
      </c>
      <c r="E21" s="29" t="s">
        <v>487</v>
      </c>
      <c r="F21" s="28" t="s">
        <v>506</v>
      </c>
      <c r="G21" s="3">
        <v>6666.7</v>
      </c>
    </row>
    <row r="22" spans="1:7" x14ac:dyDescent="0.25">
      <c r="A22" t="s">
        <v>13</v>
      </c>
      <c r="B22" t="str">
        <f t="shared" si="0"/>
        <v xml:space="preserve"> CIDB Holdings Sdn Bhd</v>
      </c>
      <c r="C22" t="str">
        <f t="shared" si="0"/>
        <v xml:space="preserve"> CIDBH</v>
      </c>
      <c r="D22" s="29">
        <v>10170004</v>
      </c>
      <c r="E22" s="29" t="s">
        <v>487</v>
      </c>
      <c r="F22" s="28" t="s">
        <v>506</v>
      </c>
      <c r="G22" s="3">
        <v>6666.7</v>
      </c>
    </row>
    <row r="23" spans="1:7" x14ac:dyDescent="0.25">
      <c r="A23" t="s">
        <v>13</v>
      </c>
      <c r="B23" t="str">
        <f t="shared" si="0"/>
        <v xml:space="preserve"> CIDB Holdings Sdn Bhd</v>
      </c>
      <c r="C23" t="str">
        <f t="shared" si="0"/>
        <v xml:space="preserve"> CIDBH</v>
      </c>
      <c r="D23" s="29">
        <v>10170004</v>
      </c>
      <c r="E23" s="29" t="s">
        <v>487</v>
      </c>
      <c r="F23" s="28" t="s">
        <v>506</v>
      </c>
      <c r="G23" s="3">
        <v>22611.27</v>
      </c>
    </row>
    <row r="24" spans="1:7" x14ac:dyDescent="0.25">
      <c r="A24" t="s">
        <v>13</v>
      </c>
      <c r="B24" t="str">
        <f t="shared" si="0"/>
        <v xml:space="preserve"> CIDB Holdings Sdn Bhd</v>
      </c>
      <c r="C24" t="str">
        <f t="shared" si="0"/>
        <v xml:space="preserve"> CIDBH</v>
      </c>
      <c r="D24" s="29">
        <v>10170004</v>
      </c>
      <c r="E24" s="29" t="s">
        <v>487</v>
      </c>
      <c r="F24" s="28" t="s">
        <v>506</v>
      </c>
      <c r="G24" s="3">
        <v>88278.13</v>
      </c>
    </row>
    <row r="25" spans="1:7" x14ac:dyDescent="0.25">
      <c r="A25" t="s">
        <v>13</v>
      </c>
      <c r="B25" t="str">
        <f t="shared" si="0"/>
        <v xml:space="preserve"> CIDB Holdings Sdn Bhd</v>
      </c>
      <c r="C25" t="str">
        <f t="shared" si="0"/>
        <v xml:space="preserve"> CIDBH</v>
      </c>
      <c r="D25" s="29">
        <v>10170004</v>
      </c>
      <c r="E25" s="29" t="s">
        <v>487</v>
      </c>
      <c r="F25" s="28" t="s">
        <v>506</v>
      </c>
      <c r="G25" s="3">
        <v>26052.86</v>
      </c>
    </row>
    <row r="26" spans="1:7" x14ac:dyDescent="0.25">
      <c r="A26" t="s">
        <v>13</v>
      </c>
      <c r="B26" t="str">
        <f t="shared" si="0"/>
        <v xml:space="preserve"> CIDB Holdings Sdn Bhd</v>
      </c>
      <c r="C26" t="str">
        <f t="shared" si="0"/>
        <v xml:space="preserve"> CIDBH</v>
      </c>
      <c r="D26" s="29">
        <v>10170004</v>
      </c>
      <c r="E26" s="29" t="s">
        <v>487</v>
      </c>
      <c r="F26" s="28" t="s">
        <v>506</v>
      </c>
      <c r="G26" s="3">
        <v>8000</v>
      </c>
    </row>
    <row r="27" spans="1:7" x14ac:dyDescent="0.25">
      <c r="A27" t="s">
        <v>13</v>
      </c>
      <c r="B27" t="str">
        <f t="shared" si="0"/>
        <v xml:space="preserve"> CIDB Holdings Sdn Bhd</v>
      </c>
      <c r="C27" t="str">
        <f t="shared" si="0"/>
        <v xml:space="preserve"> CIDBH</v>
      </c>
      <c r="D27" s="29">
        <v>10170004</v>
      </c>
      <c r="E27" s="29" t="s">
        <v>487</v>
      </c>
      <c r="F27" s="28" t="s">
        <v>506</v>
      </c>
      <c r="G27" s="3">
        <v>1256.9000000000001</v>
      </c>
    </row>
    <row r="28" spans="1:7" x14ac:dyDescent="0.25">
      <c r="A28" t="s">
        <v>13</v>
      </c>
      <c r="B28" t="str">
        <f t="shared" si="0"/>
        <v xml:space="preserve"> CIDB Holdings Sdn Bhd</v>
      </c>
      <c r="C28" t="str">
        <f t="shared" si="0"/>
        <v xml:space="preserve"> CIDBH</v>
      </c>
      <c r="D28" s="29">
        <v>10170004</v>
      </c>
      <c r="E28" s="29" t="s">
        <v>487</v>
      </c>
      <c r="F28" s="28" t="s">
        <v>506</v>
      </c>
      <c r="G28" s="3">
        <v>8700</v>
      </c>
    </row>
    <row r="29" spans="1:7" x14ac:dyDescent="0.25">
      <c r="A29" t="s">
        <v>13</v>
      </c>
      <c r="B29" t="str">
        <f t="shared" si="0"/>
        <v xml:space="preserve"> CIDB Holdings Sdn Bhd</v>
      </c>
      <c r="C29" t="str">
        <f t="shared" si="0"/>
        <v xml:space="preserve"> CIDBH</v>
      </c>
      <c r="D29" s="29">
        <v>10170004</v>
      </c>
      <c r="E29" s="29" t="s">
        <v>487</v>
      </c>
      <c r="F29" s="28" t="s">
        <v>506</v>
      </c>
      <c r="G29" s="3">
        <v>16800</v>
      </c>
    </row>
    <row r="30" spans="1:7" x14ac:dyDescent="0.25">
      <c r="A30" t="s">
        <v>13</v>
      </c>
      <c r="B30" t="str">
        <f t="shared" si="0"/>
        <v xml:space="preserve"> CIDB Holdings Sdn Bhd</v>
      </c>
      <c r="C30" t="str">
        <f t="shared" si="0"/>
        <v xml:space="preserve"> CIDBH</v>
      </c>
      <c r="D30" s="29">
        <v>10150009</v>
      </c>
      <c r="E30" s="29" t="s">
        <v>485</v>
      </c>
      <c r="F30" s="28" t="s">
        <v>506</v>
      </c>
      <c r="G30" s="3">
        <v>4893801.5999999996</v>
      </c>
    </row>
    <row r="31" spans="1:7" x14ac:dyDescent="0.25">
      <c r="A31" t="s">
        <v>13</v>
      </c>
      <c r="B31" t="str">
        <f t="shared" si="0"/>
        <v xml:space="preserve"> CIDB Holdings Sdn Bhd</v>
      </c>
      <c r="C31" t="str">
        <f t="shared" si="0"/>
        <v xml:space="preserve"> CIDBH</v>
      </c>
      <c r="D31" s="29">
        <v>10150009</v>
      </c>
      <c r="E31" s="29" t="s">
        <v>485</v>
      </c>
      <c r="F31" s="28" t="s">
        <v>506</v>
      </c>
      <c r="G31" s="3">
        <v>5360125.5999999996</v>
      </c>
    </row>
    <row r="32" spans="1:7" x14ac:dyDescent="0.25">
      <c r="A32" t="s">
        <v>13</v>
      </c>
      <c r="B32" t="str">
        <f t="shared" si="0"/>
        <v xml:space="preserve"> CIDB Holdings Sdn Bhd</v>
      </c>
      <c r="C32" t="str">
        <f t="shared" si="0"/>
        <v xml:space="preserve"> CIDBH</v>
      </c>
      <c r="D32" s="29">
        <v>10150009</v>
      </c>
      <c r="E32" s="29" t="s">
        <v>485</v>
      </c>
      <c r="F32" s="28" t="s">
        <v>506</v>
      </c>
      <c r="G32" s="3">
        <v>4585488.4000000004</v>
      </c>
    </row>
    <row r="33" spans="1:7" x14ac:dyDescent="0.25">
      <c r="A33" t="s">
        <v>13</v>
      </c>
      <c r="B33" t="str">
        <f t="shared" si="0"/>
        <v xml:space="preserve"> CIDB Holdings Sdn Bhd</v>
      </c>
      <c r="C33" t="str">
        <f t="shared" si="0"/>
        <v xml:space="preserve"> CIDBH</v>
      </c>
      <c r="D33" s="29">
        <v>10150009</v>
      </c>
      <c r="E33" s="29" t="s">
        <v>485</v>
      </c>
      <c r="F33" s="28" t="s">
        <v>506</v>
      </c>
      <c r="G33" s="3">
        <v>781410.04</v>
      </c>
    </row>
    <row r="34" spans="1:7" x14ac:dyDescent="0.25">
      <c r="A34" t="s">
        <v>162</v>
      </c>
      <c r="B34" t="str">
        <f t="shared" ref="B34:C65" si="1">VLOOKUP(A34,J:K,2,0)</f>
        <v xml:space="preserve"> CIDB Digital Sdn Bhd</v>
      </c>
      <c r="C34" t="str">
        <f t="shared" si="1"/>
        <v xml:space="preserve"> CIDBeC</v>
      </c>
      <c r="D34" s="29">
        <v>10140007</v>
      </c>
      <c r="E34" s="29" t="s">
        <v>482</v>
      </c>
      <c r="F34" s="28" t="s">
        <v>507</v>
      </c>
      <c r="G34" s="3">
        <v>5695</v>
      </c>
    </row>
    <row r="35" spans="1:7" x14ac:dyDescent="0.25">
      <c r="A35" t="s">
        <v>162</v>
      </c>
      <c r="B35" t="str">
        <f t="shared" si="1"/>
        <v xml:space="preserve"> CIDB Digital Sdn Bhd</v>
      </c>
      <c r="C35" t="str">
        <f t="shared" si="1"/>
        <v xml:space="preserve"> CIDBeC</v>
      </c>
      <c r="D35" s="29">
        <v>10150009</v>
      </c>
      <c r="E35" s="29" t="s">
        <v>485</v>
      </c>
      <c r="F35" s="28" t="s">
        <v>505</v>
      </c>
      <c r="G35" s="3">
        <v>1600000</v>
      </c>
    </row>
    <row r="36" spans="1:7" x14ac:dyDescent="0.25">
      <c r="A36" t="s">
        <v>162</v>
      </c>
      <c r="B36" t="str">
        <f t="shared" si="1"/>
        <v xml:space="preserve"> CIDB Digital Sdn Bhd</v>
      </c>
      <c r="C36" t="str">
        <f t="shared" si="1"/>
        <v xml:space="preserve"> CIDBeC</v>
      </c>
      <c r="D36" s="29">
        <v>10170003</v>
      </c>
      <c r="E36" s="29" t="s">
        <v>486</v>
      </c>
      <c r="F36" s="28" t="s">
        <v>505</v>
      </c>
      <c r="G36" s="3">
        <v>467000</v>
      </c>
    </row>
    <row r="37" spans="1:7" x14ac:dyDescent="0.25">
      <c r="A37" t="s">
        <v>162</v>
      </c>
      <c r="B37" t="str">
        <f t="shared" si="1"/>
        <v xml:space="preserve"> CIDB Digital Sdn Bhd</v>
      </c>
      <c r="C37" t="str">
        <f t="shared" si="1"/>
        <v xml:space="preserve"> CIDBeC</v>
      </c>
      <c r="D37" s="29">
        <v>10140007</v>
      </c>
      <c r="E37" s="29" t="s">
        <v>482</v>
      </c>
      <c r="F37" s="28" t="s">
        <v>505</v>
      </c>
      <c r="G37" s="3">
        <v>61250</v>
      </c>
    </row>
    <row r="38" spans="1:7" x14ac:dyDescent="0.25">
      <c r="A38" t="s">
        <v>162</v>
      </c>
      <c r="B38" t="str">
        <f t="shared" si="1"/>
        <v xml:space="preserve"> CIDB Digital Sdn Bhd</v>
      </c>
      <c r="C38" t="str">
        <f t="shared" si="1"/>
        <v xml:space="preserve"> CIDBeC</v>
      </c>
      <c r="D38" s="29">
        <v>10140007</v>
      </c>
      <c r="E38" s="29" t="s">
        <v>482</v>
      </c>
      <c r="F38" s="28" t="s">
        <v>505</v>
      </c>
      <c r="G38" s="3">
        <v>61250</v>
      </c>
    </row>
    <row r="39" spans="1:7" x14ac:dyDescent="0.25">
      <c r="A39" t="s">
        <v>162</v>
      </c>
      <c r="B39" t="str">
        <f t="shared" si="1"/>
        <v xml:space="preserve"> CIDB Digital Sdn Bhd</v>
      </c>
      <c r="C39" t="str">
        <f t="shared" si="1"/>
        <v xml:space="preserve"> CIDBeC</v>
      </c>
      <c r="D39" s="29">
        <v>10150009</v>
      </c>
      <c r="E39" s="29" t="s">
        <v>485</v>
      </c>
      <c r="F39" s="28" t="s">
        <v>505</v>
      </c>
      <c r="G39" s="3">
        <v>250000</v>
      </c>
    </row>
    <row r="40" spans="1:7" x14ac:dyDescent="0.25">
      <c r="A40" t="s">
        <v>162</v>
      </c>
      <c r="B40" t="str">
        <f t="shared" si="1"/>
        <v xml:space="preserve"> CIDB Digital Sdn Bhd</v>
      </c>
      <c r="C40" t="str">
        <f t="shared" si="1"/>
        <v xml:space="preserve"> CIDBeC</v>
      </c>
      <c r="D40" s="29">
        <v>10120002</v>
      </c>
      <c r="E40" s="29" t="s">
        <v>480</v>
      </c>
      <c r="F40" s="28" t="s">
        <v>505</v>
      </c>
      <c r="G40" s="3">
        <v>1639627.33</v>
      </c>
    </row>
    <row r="41" spans="1:7" x14ac:dyDescent="0.25">
      <c r="A41" t="s">
        <v>162</v>
      </c>
      <c r="B41" t="str">
        <f t="shared" si="1"/>
        <v xml:space="preserve"> CIDB Digital Sdn Bhd</v>
      </c>
      <c r="C41" t="str">
        <f t="shared" si="1"/>
        <v xml:space="preserve"> CIDBeC</v>
      </c>
      <c r="D41" s="29">
        <v>10140007</v>
      </c>
      <c r="E41" s="29" t="s">
        <v>482</v>
      </c>
      <c r="F41" s="28" t="s">
        <v>505</v>
      </c>
      <c r="G41" s="3">
        <v>77644.83</v>
      </c>
    </row>
    <row r="42" spans="1:7" x14ac:dyDescent="0.25">
      <c r="A42" t="s">
        <v>162</v>
      </c>
      <c r="B42" t="str">
        <f t="shared" si="1"/>
        <v xml:space="preserve"> CIDB Digital Sdn Bhd</v>
      </c>
      <c r="C42" t="str">
        <f t="shared" si="1"/>
        <v xml:space="preserve"> CIDBeC</v>
      </c>
      <c r="D42" s="29">
        <v>10140008</v>
      </c>
      <c r="E42" s="29" t="s">
        <v>483</v>
      </c>
      <c r="F42" s="28" t="s">
        <v>505</v>
      </c>
      <c r="G42" s="3">
        <v>16848</v>
      </c>
    </row>
    <row r="43" spans="1:7" x14ac:dyDescent="0.25">
      <c r="A43" t="s">
        <v>162</v>
      </c>
      <c r="B43" t="str">
        <f t="shared" si="1"/>
        <v xml:space="preserve"> CIDB Digital Sdn Bhd</v>
      </c>
      <c r="C43" t="str">
        <f t="shared" si="1"/>
        <v xml:space="preserve"> CIDBeC</v>
      </c>
      <c r="D43" s="29">
        <v>10140008</v>
      </c>
      <c r="E43" s="29" t="s">
        <v>483</v>
      </c>
      <c r="F43" s="28" t="s">
        <v>506</v>
      </c>
      <c r="G43" s="3">
        <v>16848</v>
      </c>
    </row>
    <row r="44" spans="1:7" x14ac:dyDescent="0.25">
      <c r="A44" t="s">
        <v>162</v>
      </c>
      <c r="B44" t="str">
        <f t="shared" si="1"/>
        <v xml:space="preserve"> CIDB Digital Sdn Bhd</v>
      </c>
      <c r="C44" t="str">
        <f t="shared" si="1"/>
        <v xml:space="preserve"> CIDBeC</v>
      </c>
      <c r="D44" s="29">
        <v>10140007</v>
      </c>
      <c r="E44" s="29" t="s">
        <v>482</v>
      </c>
      <c r="F44" s="28" t="s">
        <v>506</v>
      </c>
      <c r="G44" s="3">
        <v>77644.83</v>
      </c>
    </row>
    <row r="45" spans="1:7" x14ac:dyDescent="0.25">
      <c r="A45" t="s">
        <v>162</v>
      </c>
      <c r="B45" t="str">
        <f t="shared" si="1"/>
        <v xml:space="preserve"> CIDB Digital Sdn Bhd</v>
      </c>
      <c r="C45" t="str">
        <f t="shared" si="1"/>
        <v xml:space="preserve"> CIDBeC</v>
      </c>
      <c r="D45" s="29">
        <v>10150009</v>
      </c>
      <c r="E45" s="29" t="s">
        <v>485</v>
      </c>
      <c r="F45" s="28" t="s">
        <v>506</v>
      </c>
      <c r="G45" s="3">
        <v>280000</v>
      </c>
    </row>
    <row r="46" spans="1:7" x14ac:dyDescent="0.25">
      <c r="A46" t="s">
        <v>162</v>
      </c>
      <c r="B46" t="str">
        <f t="shared" si="1"/>
        <v xml:space="preserve"> CIDB Digital Sdn Bhd</v>
      </c>
      <c r="C46" t="str">
        <f t="shared" si="1"/>
        <v xml:space="preserve"> CIDBeC</v>
      </c>
      <c r="D46" s="29">
        <v>10150009</v>
      </c>
      <c r="E46" s="29" t="s">
        <v>485</v>
      </c>
      <c r="F46" s="28" t="s">
        <v>506</v>
      </c>
      <c r="G46" s="3">
        <v>108000</v>
      </c>
    </row>
    <row r="47" spans="1:7" x14ac:dyDescent="0.25">
      <c r="A47" t="s">
        <v>162</v>
      </c>
      <c r="B47" t="str">
        <f t="shared" si="1"/>
        <v xml:space="preserve"> CIDB Digital Sdn Bhd</v>
      </c>
      <c r="C47" t="str">
        <f t="shared" si="1"/>
        <v xml:space="preserve"> CIDBeC</v>
      </c>
      <c r="D47" s="29">
        <v>10150009</v>
      </c>
      <c r="E47" s="29" t="s">
        <v>485</v>
      </c>
      <c r="F47" s="28" t="s">
        <v>506</v>
      </c>
      <c r="G47" s="3">
        <v>80000</v>
      </c>
    </row>
    <row r="48" spans="1:7" x14ac:dyDescent="0.25">
      <c r="A48" t="s">
        <v>162</v>
      </c>
      <c r="B48" t="str">
        <f t="shared" si="1"/>
        <v xml:space="preserve"> CIDB Digital Sdn Bhd</v>
      </c>
      <c r="C48" t="str">
        <f t="shared" si="1"/>
        <v xml:space="preserve"> CIDBeC</v>
      </c>
      <c r="D48" s="29">
        <v>10170003</v>
      </c>
      <c r="E48" s="29" t="s">
        <v>486</v>
      </c>
      <c r="F48" s="28" t="s">
        <v>506</v>
      </c>
      <c r="G48" s="3">
        <v>128245.7</v>
      </c>
    </row>
    <row r="49" spans="1:7" x14ac:dyDescent="0.25">
      <c r="A49" t="s">
        <v>162</v>
      </c>
      <c r="B49" t="str">
        <f t="shared" si="1"/>
        <v xml:space="preserve"> CIDB Digital Sdn Bhd</v>
      </c>
      <c r="C49" t="str">
        <f t="shared" si="1"/>
        <v xml:space="preserve"> CIDBeC</v>
      </c>
      <c r="D49" s="29">
        <v>10150009</v>
      </c>
      <c r="E49" s="29" t="s">
        <v>485</v>
      </c>
      <c r="F49" s="28" t="s">
        <v>506</v>
      </c>
      <c r="G49" s="3">
        <v>19577.599999999999</v>
      </c>
    </row>
    <row r="50" spans="1:7" x14ac:dyDescent="0.25">
      <c r="A50" t="s">
        <v>162</v>
      </c>
      <c r="B50" t="str">
        <f t="shared" si="1"/>
        <v xml:space="preserve"> CIDB Digital Sdn Bhd</v>
      </c>
      <c r="C50" t="str">
        <f t="shared" si="1"/>
        <v xml:space="preserve"> CIDBeC</v>
      </c>
      <c r="D50" s="29">
        <v>10150009</v>
      </c>
      <c r="E50" s="29" t="s">
        <v>485</v>
      </c>
      <c r="F50" s="28" t="s">
        <v>506</v>
      </c>
      <c r="G50" s="3">
        <v>19577.599999999999</v>
      </c>
    </row>
    <row r="51" spans="1:7" x14ac:dyDescent="0.25">
      <c r="A51" t="s">
        <v>241</v>
      </c>
      <c r="B51" t="str">
        <f t="shared" si="1"/>
        <v xml:space="preserve"> CREAM</v>
      </c>
      <c r="C51" t="str">
        <f t="shared" si="1"/>
        <v xml:space="preserve"> CREAM</v>
      </c>
      <c r="D51" s="29">
        <v>10140008</v>
      </c>
      <c r="E51" s="29" t="s">
        <v>483</v>
      </c>
      <c r="F51" s="28" t="s">
        <v>505</v>
      </c>
      <c r="G51" s="3">
        <v>108000</v>
      </c>
    </row>
    <row r="52" spans="1:7" x14ac:dyDescent="0.25">
      <c r="A52" t="s">
        <v>241</v>
      </c>
      <c r="B52" t="str">
        <f t="shared" si="1"/>
        <v xml:space="preserve"> CREAM</v>
      </c>
      <c r="C52" t="str">
        <f t="shared" si="1"/>
        <v xml:space="preserve"> CREAM</v>
      </c>
      <c r="D52" s="29">
        <v>10150009</v>
      </c>
      <c r="E52" s="29" t="s">
        <v>485</v>
      </c>
      <c r="F52" s="28" t="s">
        <v>505</v>
      </c>
      <c r="G52" s="3">
        <v>100000</v>
      </c>
    </row>
    <row r="53" spans="1:7" x14ac:dyDescent="0.25">
      <c r="A53" t="s">
        <v>241</v>
      </c>
      <c r="B53" t="str">
        <f t="shared" si="1"/>
        <v xml:space="preserve"> CREAM</v>
      </c>
      <c r="C53" t="str">
        <f t="shared" si="1"/>
        <v xml:space="preserve"> CREAM</v>
      </c>
      <c r="D53" s="30">
        <v>10130007</v>
      </c>
      <c r="E53" s="29" t="s">
        <v>481</v>
      </c>
      <c r="F53" s="28" t="s">
        <v>505</v>
      </c>
      <c r="G53" s="3">
        <v>245200</v>
      </c>
    </row>
    <row r="54" spans="1:7" x14ac:dyDescent="0.25">
      <c r="A54" t="s">
        <v>241</v>
      </c>
      <c r="B54" t="str">
        <f t="shared" si="1"/>
        <v xml:space="preserve"> CREAM</v>
      </c>
      <c r="C54" t="str">
        <f t="shared" si="1"/>
        <v xml:space="preserve"> CREAM</v>
      </c>
      <c r="D54" s="30">
        <v>10130007</v>
      </c>
      <c r="E54" s="29" t="s">
        <v>481</v>
      </c>
      <c r="F54" s="28" t="s">
        <v>505</v>
      </c>
      <c r="G54" s="3">
        <v>151300</v>
      </c>
    </row>
    <row r="55" spans="1:7" x14ac:dyDescent="0.25">
      <c r="A55" t="s">
        <v>241</v>
      </c>
      <c r="B55" t="str">
        <f t="shared" si="1"/>
        <v xml:space="preserve"> CREAM</v>
      </c>
      <c r="C55" t="str">
        <f t="shared" si="1"/>
        <v xml:space="preserve"> CREAM</v>
      </c>
      <c r="D55" s="29">
        <v>10140007</v>
      </c>
      <c r="E55" s="29" t="s">
        <v>482</v>
      </c>
      <c r="F55" s="28" t="s">
        <v>505</v>
      </c>
      <c r="G55" s="3">
        <v>100000</v>
      </c>
    </row>
    <row r="56" spans="1:7" x14ac:dyDescent="0.25">
      <c r="A56" t="s">
        <v>241</v>
      </c>
      <c r="B56" t="str">
        <f t="shared" si="1"/>
        <v xml:space="preserve"> CREAM</v>
      </c>
      <c r="C56" t="str">
        <f t="shared" si="1"/>
        <v xml:space="preserve"> CREAM</v>
      </c>
      <c r="D56" s="30">
        <v>10130007</v>
      </c>
      <c r="E56" s="29" t="s">
        <v>481</v>
      </c>
      <c r="F56" s="28" t="s">
        <v>506</v>
      </c>
      <c r="G56" s="3">
        <v>245200</v>
      </c>
    </row>
    <row r="57" spans="1:7" x14ac:dyDescent="0.25">
      <c r="A57" t="s">
        <v>241</v>
      </c>
      <c r="B57" t="str">
        <f t="shared" si="1"/>
        <v xml:space="preserve"> CREAM</v>
      </c>
      <c r="C57" t="str">
        <f t="shared" si="1"/>
        <v xml:space="preserve"> CREAM</v>
      </c>
      <c r="D57" s="29">
        <v>10130007</v>
      </c>
      <c r="E57" s="29" t="s">
        <v>481</v>
      </c>
      <c r="F57" s="28" t="s">
        <v>506</v>
      </c>
      <c r="G57" s="3">
        <v>151300</v>
      </c>
    </row>
    <row r="58" spans="1:7" x14ac:dyDescent="0.25">
      <c r="A58" t="s">
        <v>241</v>
      </c>
      <c r="B58" t="str">
        <f t="shared" si="1"/>
        <v xml:space="preserve"> CREAM</v>
      </c>
      <c r="C58" t="str">
        <f t="shared" si="1"/>
        <v xml:space="preserve"> CREAM</v>
      </c>
      <c r="D58" s="29">
        <v>10150009</v>
      </c>
      <c r="E58" s="29" t="s">
        <v>485</v>
      </c>
      <c r="F58" s="28" t="s">
        <v>506</v>
      </c>
      <c r="G58" s="3">
        <v>25336.799999999999</v>
      </c>
    </row>
    <row r="59" spans="1:7" x14ac:dyDescent="0.25">
      <c r="A59" t="s">
        <v>241</v>
      </c>
      <c r="B59" t="str">
        <f t="shared" si="1"/>
        <v xml:space="preserve"> CREAM</v>
      </c>
      <c r="C59" t="str">
        <f t="shared" si="1"/>
        <v xml:space="preserve"> CREAM</v>
      </c>
      <c r="D59" s="29">
        <v>10150009</v>
      </c>
      <c r="E59" s="29" t="s">
        <v>485</v>
      </c>
      <c r="F59" s="28" t="s">
        <v>506</v>
      </c>
      <c r="G59" s="3">
        <v>25158.6</v>
      </c>
    </row>
    <row r="60" spans="1:7" x14ac:dyDescent="0.25">
      <c r="A60" t="s">
        <v>241</v>
      </c>
      <c r="B60" t="str">
        <f t="shared" si="1"/>
        <v xml:space="preserve"> CREAM</v>
      </c>
      <c r="C60" t="str">
        <f t="shared" si="1"/>
        <v xml:space="preserve"> CREAM</v>
      </c>
      <c r="D60" s="29">
        <v>10140007</v>
      </c>
      <c r="E60" s="29" t="s">
        <v>482</v>
      </c>
      <c r="F60" s="28" t="s">
        <v>506</v>
      </c>
      <c r="G60" s="3">
        <v>8432.11</v>
      </c>
    </row>
    <row r="61" spans="1:7" x14ac:dyDescent="0.25">
      <c r="A61" t="s">
        <v>286</v>
      </c>
      <c r="B61" t="str">
        <f t="shared" si="1"/>
        <v xml:space="preserve"> CLAB</v>
      </c>
      <c r="C61" t="str">
        <f t="shared" si="1"/>
        <v xml:space="preserve"> CLAB</v>
      </c>
      <c r="D61" s="29">
        <v>10150009</v>
      </c>
      <c r="E61" s="29" t="s">
        <v>485</v>
      </c>
      <c r="F61" s="28" t="s">
        <v>505</v>
      </c>
      <c r="G61" s="3">
        <v>1500000</v>
      </c>
    </row>
    <row r="62" spans="1:7" x14ac:dyDescent="0.25">
      <c r="A62" t="s">
        <v>286</v>
      </c>
      <c r="B62" t="str">
        <f t="shared" si="1"/>
        <v xml:space="preserve"> CLAB</v>
      </c>
      <c r="C62" t="str">
        <f t="shared" si="1"/>
        <v xml:space="preserve"> CLAB</v>
      </c>
      <c r="D62" s="29">
        <v>10150009</v>
      </c>
      <c r="E62" s="29" t="s">
        <v>485</v>
      </c>
      <c r="F62" s="28" t="s">
        <v>506</v>
      </c>
      <c r="G62" s="3">
        <v>353970.88</v>
      </c>
    </row>
    <row r="63" spans="1:7" x14ac:dyDescent="0.25">
      <c r="A63" t="s">
        <v>286</v>
      </c>
      <c r="B63" t="str">
        <f t="shared" si="1"/>
        <v xml:space="preserve"> CLAB</v>
      </c>
      <c r="C63" t="str">
        <f t="shared" si="1"/>
        <v xml:space="preserve"> CLAB</v>
      </c>
      <c r="D63" s="29">
        <v>10150009</v>
      </c>
      <c r="E63" s="29" t="s">
        <v>485</v>
      </c>
      <c r="F63" s="28" t="s">
        <v>506</v>
      </c>
      <c r="G63" s="3">
        <v>306244.8</v>
      </c>
    </row>
    <row r="64" spans="1:7" x14ac:dyDescent="0.25">
      <c r="A64" t="s">
        <v>286</v>
      </c>
      <c r="B64" t="str">
        <f t="shared" si="1"/>
        <v xml:space="preserve"> CLAB</v>
      </c>
      <c r="C64" t="str">
        <f t="shared" si="1"/>
        <v xml:space="preserve"> CLAB</v>
      </c>
      <c r="D64" s="29">
        <v>10150009</v>
      </c>
      <c r="E64" s="29" t="s">
        <v>485</v>
      </c>
      <c r="F64" s="28" t="s">
        <v>506</v>
      </c>
      <c r="G64" s="3">
        <v>161212.42000000001</v>
      </c>
    </row>
    <row r="65" spans="1:7" x14ac:dyDescent="0.25">
      <c r="A65" t="s">
        <v>302</v>
      </c>
      <c r="B65" t="str">
        <f t="shared" si="1"/>
        <v xml:space="preserve"> ABM Selangor Sdn Bhd</v>
      </c>
      <c r="C65" t="str">
        <f t="shared" si="1"/>
        <v xml:space="preserve"> ABMSbh</v>
      </c>
      <c r="D65" s="29">
        <v>10150009</v>
      </c>
      <c r="E65" s="29" t="s">
        <v>485</v>
      </c>
      <c r="F65" s="28" t="s">
        <v>505</v>
      </c>
      <c r="G65" s="3">
        <v>91440</v>
      </c>
    </row>
    <row r="66" spans="1:7" x14ac:dyDescent="0.25">
      <c r="A66" t="s">
        <v>302</v>
      </c>
      <c r="B66" t="str">
        <f t="shared" ref="B66:C97" si="2">VLOOKUP(A66,J:K,2,0)</f>
        <v xml:space="preserve"> ABM Selangor Sdn Bhd</v>
      </c>
      <c r="C66" t="str">
        <f t="shared" si="2"/>
        <v xml:space="preserve"> ABMSbh</v>
      </c>
      <c r="D66" s="29">
        <v>10150009</v>
      </c>
      <c r="E66" s="29" t="s">
        <v>485</v>
      </c>
      <c r="F66" s="28" t="s">
        <v>506</v>
      </c>
      <c r="G66" s="3">
        <v>70104</v>
      </c>
    </row>
    <row r="67" spans="1:7" x14ac:dyDescent="0.25">
      <c r="A67" t="s">
        <v>313</v>
      </c>
      <c r="B67" t="str">
        <f t="shared" si="2"/>
        <v xml:space="preserve"> ABM Utara Sdn Bhd</v>
      </c>
      <c r="C67" t="str">
        <f t="shared" si="2"/>
        <v xml:space="preserve"> ABMU</v>
      </c>
      <c r="D67" s="29">
        <v>10150009</v>
      </c>
      <c r="E67" s="29" t="s">
        <v>485</v>
      </c>
      <c r="F67" s="28" t="s">
        <v>505</v>
      </c>
      <c r="G67" s="3">
        <v>91440</v>
      </c>
    </row>
    <row r="68" spans="1:7" x14ac:dyDescent="0.25">
      <c r="A68" t="s">
        <v>318</v>
      </c>
      <c r="B68" t="str">
        <f t="shared" si="2"/>
        <v xml:space="preserve"> ABM Terengganu Sdn Bhd</v>
      </c>
      <c r="C68" t="str">
        <f t="shared" si="2"/>
        <v xml:space="preserve"> ABMT</v>
      </c>
      <c r="D68" s="29">
        <v>10150009</v>
      </c>
      <c r="E68" s="29" t="s">
        <v>485</v>
      </c>
      <c r="F68" s="28" t="s">
        <v>505</v>
      </c>
      <c r="G68" s="3">
        <v>91440</v>
      </c>
    </row>
    <row r="69" spans="1:7" x14ac:dyDescent="0.25">
      <c r="A69" t="s">
        <v>318</v>
      </c>
      <c r="B69" t="str">
        <f t="shared" si="2"/>
        <v xml:space="preserve"> ABM Terengganu Sdn Bhd</v>
      </c>
      <c r="C69" t="str">
        <f t="shared" si="2"/>
        <v xml:space="preserve"> ABMT</v>
      </c>
      <c r="D69" s="29">
        <v>10150009</v>
      </c>
      <c r="E69" s="29" t="s">
        <v>485</v>
      </c>
      <c r="F69" s="28" t="s">
        <v>506</v>
      </c>
      <c r="G69" s="3">
        <v>5388</v>
      </c>
    </row>
    <row r="70" spans="1:7" x14ac:dyDescent="0.25">
      <c r="A70" t="s">
        <v>326</v>
      </c>
      <c r="B70" t="str">
        <f t="shared" si="2"/>
        <v xml:space="preserve"> ABM Sarawak Sdn Bhd</v>
      </c>
      <c r="C70" t="str">
        <f t="shared" si="2"/>
        <v xml:space="preserve"> ABMSrwk</v>
      </c>
      <c r="D70" s="29">
        <v>10150009</v>
      </c>
      <c r="E70" s="29" t="s">
        <v>485</v>
      </c>
      <c r="F70" s="28" t="s">
        <v>505</v>
      </c>
      <c r="G70" s="3">
        <v>76200</v>
      </c>
    </row>
    <row r="71" spans="1:7" x14ac:dyDescent="0.25">
      <c r="A71" t="s">
        <v>326</v>
      </c>
      <c r="B71" t="str">
        <f t="shared" si="2"/>
        <v xml:space="preserve"> ABM Sarawak Sdn Bhd</v>
      </c>
      <c r="C71" t="str">
        <f t="shared" si="2"/>
        <v xml:space="preserve"> ABMSrwk</v>
      </c>
      <c r="D71" s="29">
        <v>10170003</v>
      </c>
      <c r="E71" s="29" t="s">
        <v>486</v>
      </c>
      <c r="F71" s="28" t="s">
        <v>505</v>
      </c>
      <c r="G71" s="3">
        <v>48640</v>
      </c>
    </row>
    <row r="72" spans="1:7" x14ac:dyDescent="0.25">
      <c r="A72" t="s">
        <v>326</v>
      </c>
      <c r="B72" t="str">
        <f t="shared" si="2"/>
        <v xml:space="preserve"> ABM Sarawak Sdn Bhd</v>
      </c>
      <c r="C72" t="str">
        <f t="shared" si="2"/>
        <v xml:space="preserve"> ABMSrwk</v>
      </c>
      <c r="D72" s="29">
        <v>10150009</v>
      </c>
      <c r="E72" s="29" t="s">
        <v>485</v>
      </c>
      <c r="F72" s="28" t="s">
        <v>506</v>
      </c>
      <c r="G72" s="3">
        <v>2032</v>
      </c>
    </row>
    <row r="73" spans="1:7" x14ac:dyDescent="0.25">
      <c r="A73" t="s">
        <v>326</v>
      </c>
      <c r="B73" t="str">
        <f t="shared" si="2"/>
        <v xml:space="preserve"> ABM Sarawak Sdn Bhd</v>
      </c>
      <c r="C73" t="str">
        <f t="shared" si="2"/>
        <v xml:space="preserve"> ABMSrwk</v>
      </c>
      <c r="D73" s="29">
        <v>10150009</v>
      </c>
      <c r="E73" s="29" t="s">
        <v>485</v>
      </c>
      <c r="F73" s="28" t="s">
        <v>506</v>
      </c>
      <c r="G73" s="3">
        <v>2032</v>
      </c>
    </row>
    <row r="74" spans="1:7" x14ac:dyDescent="0.25">
      <c r="A74" t="s">
        <v>326</v>
      </c>
      <c r="B74" t="str">
        <f t="shared" si="2"/>
        <v xml:space="preserve"> ABM Sarawak Sdn Bhd</v>
      </c>
      <c r="C74" t="str">
        <f t="shared" si="2"/>
        <v xml:space="preserve"> ABMSrwk</v>
      </c>
      <c r="D74" s="29">
        <v>10170003</v>
      </c>
      <c r="E74" s="29" t="s">
        <v>486</v>
      </c>
      <c r="F74" s="28" t="s">
        <v>506</v>
      </c>
      <c r="G74" s="3">
        <v>48640</v>
      </c>
    </row>
    <row r="75" spans="1:7" x14ac:dyDescent="0.25">
      <c r="A75" t="s">
        <v>349</v>
      </c>
      <c r="B75" t="str">
        <f t="shared" si="2"/>
        <v xml:space="preserve"> CIDB IBS Sdn Bhd</v>
      </c>
      <c r="C75" t="str">
        <f t="shared" si="2"/>
        <v xml:space="preserve"> CIDB IBS</v>
      </c>
      <c r="D75" s="29">
        <v>10150009</v>
      </c>
      <c r="E75" s="29" t="s">
        <v>485</v>
      </c>
      <c r="F75" s="28" t="s">
        <v>505</v>
      </c>
      <c r="G75" s="3">
        <v>465000</v>
      </c>
    </row>
    <row r="76" spans="1:7" x14ac:dyDescent="0.25">
      <c r="A76" t="s">
        <v>349</v>
      </c>
      <c r="B76" t="str">
        <f t="shared" si="2"/>
        <v xml:space="preserve"> CIDB IBS Sdn Bhd</v>
      </c>
      <c r="C76" t="str">
        <f t="shared" si="2"/>
        <v xml:space="preserve"> CIDB IBS</v>
      </c>
      <c r="D76" s="29">
        <v>10140007</v>
      </c>
      <c r="E76" s="29" t="s">
        <v>482</v>
      </c>
      <c r="F76" s="28" t="s">
        <v>505</v>
      </c>
      <c r="G76" s="3">
        <v>200000</v>
      </c>
    </row>
    <row r="77" spans="1:7" x14ac:dyDescent="0.25">
      <c r="A77" t="s">
        <v>349</v>
      </c>
      <c r="B77" t="str">
        <f t="shared" si="2"/>
        <v xml:space="preserve"> CIDB IBS Sdn Bhd</v>
      </c>
      <c r="C77" t="str">
        <f t="shared" si="2"/>
        <v xml:space="preserve"> CIDB IBS</v>
      </c>
      <c r="D77" s="29">
        <v>10140007</v>
      </c>
      <c r="E77" s="29" t="s">
        <v>482</v>
      </c>
      <c r="F77" s="28" t="s">
        <v>505</v>
      </c>
      <c r="G77" s="3">
        <v>200000</v>
      </c>
    </row>
    <row r="78" spans="1:7" x14ac:dyDescent="0.25">
      <c r="A78" t="s">
        <v>349</v>
      </c>
      <c r="B78" t="str">
        <f t="shared" si="2"/>
        <v xml:space="preserve"> CIDB IBS Sdn Bhd</v>
      </c>
      <c r="C78" t="str">
        <f t="shared" si="2"/>
        <v xml:space="preserve"> CIDB IBS</v>
      </c>
      <c r="D78" s="29">
        <v>10170004</v>
      </c>
      <c r="E78" s="29" t="s">
        <v>487</v>
      </c>
      <c r="F78" s="28" t="s">
        <v>505</v>
      </c>
      <c r="G78" s="3">
        <v>385000</v>
      </c>
    </row>
    <row r="79" spans="1:7" x14ac:dyDescent="0.25">
      <c r="A79" t="s">
        <v>349</v>
      </c>
      <c r="B79" t="str">
        <f t="shared" si="2"/>
        <v xml:space="preserve"> CIDB IBS Sdn Bhd</v>
      </c>
      <c r="C79" t="str">
        <f t="shared" si="2"/>
        <v xml:space="preserve"> CIDB IBS</v>
      </c>
      <c r="D79" s="29">
        <v>10170004</v>
      </c>
      <c r="E79" s="29" t="s">
        <v>487</v>
      </c>
      <c r="F79" s="28" t="s">
        <v>505</v>
      </c>
      <c r="G79" s="3">
        <v>395000</v>
      </c>
    </row>
    <row r="80" spans="1:7" x14ac:dyDescent="0.25">
      <c r="A80" t="s">
        <v>349</v>
      </c>
      <c r="B80" t="str">
        <f t="shared" si="2"/>
        <v xml:space="preserve"> CIDB IBS Sdn Bhd</v>
      </c>
      <c r="C80" t="str">
        <f t="shared" si="2"/>
        <v xml:space="preserve"> CIDB IBS</v>
      </c>
      <c r="D80" s="29">
        <v>10170004</v>
      </c>
      <c r="E80" s="29" t="s">
        <v>487</v>
      </c>
      <c r="F80" s="28" t="s">
        <v>505</v>
      </c>
      <c r="G80" s="3">
        <v>169000</v>
      </c>
    </row>
    <row r="81" spans="1:7" x14ac:dyDescent="0.25">
      <c r="A81" t="s">
        <v>349</v>
      </c>
      <c r="B81" t="str">
        <f t="shared" si="2"/>
        <v xml:space="preserve"> CIDB IBS Sdn Bhd</v>
      </c>
      <c r="C81" t="str">
        <f t="shared" si="2"/>
        <v xml:space="preserve"> CIDB IBS</v>
      </c>
      <c r="D81" s="29">
        <v>10170004</v>
      </c>
      <c r="E81" s="29" t="s">
        <v>487</v>
      </c>
      <c r="F81" s="28" t="s">
        <v>505</v>
      </c>
      <c r="G81" s="3">
        <v>250000</v>
      </c>
    </row>
    <row r="82" spans="1:7" x14ac:dyDescent="0.25">
      <c r="A82" t="s">
        <v>349</v>
      </c>
      <c r="B82" t="str">
        <f t="shared" si="2"/>
        <v xml:space="preserve"> CIDB IBS Sdn Bhd</v>
      </c>
      <c r="C82" t="str">
        <f t="shared" si="2"/>
        <v xml:space="preserve"> CIDB IBS</v>
      </c>
      <c r="D82" s="29">
        <v>10170004</v>
      </c>
      <c r="E82" s="29" t="s">
        <v>487</v>
      </c>
      <c r="F82" s="28" t="s">
        <v>505</v>
      </c>
      <c r="G82" s="3">
        <v>145500</v>
      </c>
    </row>
    <row r="83" spans="1:7" x14ac:dyDescent="0.25">
      <c r="A83" t="s">
        <v>349</v>
      </c>
      <c r="B83" t="str">
        <f t="shared" si="2"/>
        <v xml:space="preserve"> CIDB IBS Sdn Bhd</v>
      </c>
      <c r="C83" t="str">
        <f t="shared" si="2"/>
        <v xml:space="preserve"> CIDB IBS</v>
      </c>
      <c r="D83" s="29">
        <v>10150009</v>
      </c>
      <c r="E83" s="29" t="s">
        <v>485</v>
      </c>
      <c r="F83" s="28" t="s">
        <v>506</v>
      </c>
      <c r="G83" s="3">
        <v>27600</v>
      </c>
    </row>
    <row r="84" spans="1:7" x14ac:dyDescent="0.25">
      <c r="A84" t="s">
        <v>349</v>
      </c>
      <c r="B84" t="str">
        <f t="shared" si="2"/>
        <v xml:space="preserve"> CIDB IBS Sdn Bhd</v>
      </c>
      <c r="C84" t="str">
        <f t="shared" si="2"/>
        <v xml:space="preserve"> CIDB IBS</v>
      </c>
      <c r="D84" s="29">
        <v>10150009</v>
      </c>
      <c r="E84" s="29" t="s">
        <v>485</v>
      </c>
      <c r="F84" s="28" t="s">
        <v>506</v>
      </c>
      <c r="G84" s="3">
        <v>77100</v>
      </c>
    </row>
    <row r="85" spans="1:7" x14ac:dyDescent="0.25">
      <c r="A85" t="s">
        <v>349</v>
      </c>
      <c r="B85" t="str">
        <f t="shared" si="2"/>
        <v xml:space="preserve"> CIDB IBS Sdn Bhd</v>
      </c>
      <c r="C85" t="str">
        <f t="shared" si="2"/>
        <v xml:space="preserve"> CIDB IBS</v>
      </c>
      <c r="D85" s="29">
        <v>10150009</v>
      </c>
      <c r="E85" s="29" t="s">
        <v>485</v>
      </c>
      <c r="F85" s="28" t="s">
        <v>506</v>
      </c>
      <c r="G85" s="3">
        <v>70500</v>
      </c>
    </row>
    <row r="86" spans="1:7" x14ac:dyDescent="0.25">
      <c r="A86" t="s">
        <v>349</v>
      </c>
      <c r="B86" t="str">
        <f t="shared" si="2"/>
        <v xml:space="preserve"> CIDB IBS Sdn Bhd</v>
      </c>
      <c r="C86" t="str">
        <f t="shared" si="2"/>
        <v xml:space="preserve"> CIDB IBS</v>
      </c>
      <c r="D86" s="29">
        <v>10140007</v>
      </c>
      <c r="E86" s="29" t="s">
        <v>482</v>
      </c>
      <c r="F86" s="28" t="s">
        <v>506</v>
      </c>
      <c r="G86" s="3">
        <v>97258.66</v>
      </c>
    </row>
    <row r="87" spans="1:7" x14ac:dyDescent="0.25">
      <c r="A87" t="s">
        <v>349</v>
      </c>
      <c r="B87" t="str">
        <f t="shared" si="2"/>
        <v xml:space="preserve"> CIDB IBS Sdn Bhd</v>
      </c>
      <c r="C87" t="str">
        <f t="shared" si="2"/>
        <v xml:space="preserve"> CIDB IBS</v>
      </c>
      <c r="D87" s="29">
        <v>10140007</v>
      </c>
      <c r="E87" s="29" t="s">
        <v>482</v>
      </c>
      <c r="F87" s="28" t="s">
        <v>506</v>
      </c>
      <c r="G87" s="3">
        <v>34699.68</v>
      </c>
    </row>
    <row r="88" spans="1:7" x14ac:dyDescent="0.25">
      <c r="A88" t="s">
        <v>349</v>
      </c>
      <c r="B88" t="str">
        <f t="shared" si="2"/>
        <v xml:space="preserve"> CIDB IBS Sdn Bhd</v>
      </c>
      <c r="C88" t="str">
        <f t="shared" si="2"/>
        <v xml:space="preserve"> CIDB IBS</v>
      </c>
      <c r="D88" s="29">
        <v>10140007</v>
      </c>
      <c r="E88" s="29" t="s">
        <v>482</v>
      </c>
      <c r="F88" s="28" t="s">
        <v>506</v>
      </c>
      <c r="G88" s="3">
        <v>65950.080000000002</v>
      </c>
    </row>
    <row r="89" spans="1:7" x14ac:dyDescent="0.25">
      <c r="A89" t="s">
        <v>349</v>
      </c>
      <c r="B89" t="str">
        <f t="shared" si="2"/>
        <v xml:space="preserve"> CIDB IBS Sdn Bhd</v>
      </c>
      <c r="C89" t="str">
        <f t="shared" si="2"/>
        <v xml:space="preserve"> CIDB IBS</v>
      </c>
      <c r="D89" s="29">
        <v>10140007</v>
      </c>
      <c r="E89" s="29" t="s">
        <v>482</v>
      </c>
      <c r="F89" s="28" t="s">
        <v>506</v>
      </c>
      <c r="G89" s="3">
        <v>148113.60000000001</v>
      </c>
    </row>
    <row r="90" spans="1:7" x14ac:dyDescent="0.25">
      <c r="A90" t="s">
        <v>349</v>
      </c>
      <c r="B90" t="str">
        <f t="shared" si="2"/>
        <v xml:space="preserve"> CIDB IBS Sdn Bhd</v>
      </c>
      <c r="C90" t="str">
        <f t="shared" si="2"/>
        <v xml:space="preserve"> CIDB IBS</v>
      </c>
      <c r="D90" s="29">
        <v>10170004</v>
      </c>
      <c r="E90" s="29" t="s">
        <v>487</v>
      </c>
      <c r="F90" s="28" t="s">
        <v>506</v>
      </c>
      <c r="G90" s="3">
        <v>13748.4</v>
      </c>
    </row>
    <row r="91" spans="1:7" x14ac:dyDescent="0.25">
      <c r="A91" t="s">
        <v>349</v>
      </c>
      <c r="B91" t="str">
        <f t="shared" si="2"/>
        <v xml:space="preserve"> CIDB IBS Sdn Bhd</v>
      </c>
      <c r="C91" t="str">
        <f t="shared" si="2"/>
        <v xml:space="preserve"> CIDB IBS</v>
      </c>
      <c r="D91" s="29">
        <v>10170004</v>
      </c>
      <c r="E91" s="29" t="s">
        <v>487</v>
      </c>
      <c r="F91" s="28" t="s">
        <v>506</v>
      </c>
      <c r="G91" s="3">
        <v>20103.439999999999</v>
      </c>
    </row>
    <row r="92" spans="1:7" x14ac:dyDescent="0.25">
      <c r="A92" t="s">
        <v>349</v>
      </c>
      <c r="B92" t="str">
        <f t="shared" si="2"/>
        <v xml:space="preserve"> CIDB IBS Sdn Bhd</v>
      </c>
      <c r="C92" t="str">
        <f t="shared" si="2"/>
        <v xml:space="preserve"> CIDB IBS</v>
      </c>
      <c r="D92" s="29">
        <v>10170004</v>
      </c>
      <c r="E92" s="29" t="s">
        <v>487</v>
      </c>
      <c r="F92" s="28" t="s">
        <v>506</v>
      </c>
      <c r="G92" s="3">
        <v>106776.61</v>
      </c>
    </row>
    <row r="93" spans="1:7" x14ac:dyDescent="0.25">
      <c r="A93" t="s">
        <v>349</v>
      </c>
      <c r="B93" t="str">
        <f t="shared" si="2"/>
        <v xml:space="preserve"> CIDB IBS Sdn Bhd</v>
      </c>
      <c r="C93" t="str">
        <f t="shared" si="2"/>
        <v xml:space="preserve"> CIDB IBS</v>
      </c>
      <c r="D93" s="29">
        <v>10170004</v>
      </c>
      <c r="E93" s="29" t="s">
        <v>487</v>
      </c>
      <c r="F93" s="28" t="s">
        <v>506</v>
      </c>
      <c r="G93" s="3">
        <v>8899.2000000000007</v>
      </c>
    </row>
    <row r="94" spans="1:7" x14ac:dyDescent="0.25">
      <c r="A94" t="s">
        <v>349</v>
      </c>
      <c r="B94" t="str">
        <f t="shared" si="2"/>
        <v xml:space="preserve"> CIDB IBS Sdn Bhd</v>
      </c>
      <c r="C94" t="str">
        <f t="shared" si="2"/>
        <v xml:space="preserve"> CIDB IBS</v>
      </c>
      <c r="D94" s="29">
        <v>10170004</v>
      </c>
      <c r="E94" s="29" t="s">
        <v>487</v>
      </c>
      <c r="F94" s="28" t="s">
        <v>506</v>
      </c>
      <c r="G94" s="3">
        <v>101900</v>
      </c>
    </row>
  </sheetData>
  <autoFilter ref="A1:G94" xr:uid="{357F5962-F6D2-46FD-BFC8-B16168739F3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PIVOT</vt:lpstr>
      <vt:lpstr>PTJ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t46217</cp:lastModifiedBy>
  <cp:revision>1</cp:revision>
  <dcterms:modified xsi:type="dcterms:W3CDTF">2026-05-15T23:48:25Z</dcterms:modified>
  <cp:category/>
</cp:coreProperties>
</file>